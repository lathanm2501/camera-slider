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  <sheet xmlns:r="http://schemas.openxmlformats.org/officeDocument/2006/relationships" name="Changes vs Orig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0f3460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888888"/>
      <sz val="8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/>
    </xf>
    <xf numFmtId="164" fontId="7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0" customWidth="1" min="3" max="3"/>
    <col width="18" customWidth="1" min="4" max="4"/>
    <col width="5" customWidth="1" min="5" max="5"/>
    <col width="7" customWidth="1" min="6" max="6"/>
    <col width="14" customWidth="1" min="7" max="7"/>
    <col width="14" customWidth="1" min="8" max="8"/>
    <col width="28" customWidth="1" min="9" max="9"/>
    <col width="36" customWidth="1" min="10" max="10"/>
  </cols>
  <sheetData>
    <row r="1" ht="32" customHeight="1">
      <c r="A1" s="1" t="inlineStr">
        <is>
          <t>CAMERA SLIDER  —  12864 Screen Mod  —  Bill of Materials</t>
        </is>
      </c>
    </row>
    <row r="2" ht="16" customHeight="1">
      <c r="A2" s="2" t="inlineStr">
        <is>
          <t>Firmware v1.0-12864  |  Arduino Uno + TMC2209 + BTT Mini12864 V2.0</t>
        </is>
      </c>
    </row>
    <row r="3" ht="6" customHeight="1"/>
    <row r="4" ht="26" customHeight="1">
      <c r="A4" s="3" t="inlineStr">
        <is>
          <t>#</t>
        </is>
      </c>
      <c r="B4" s="3" t="inlineStr">
        <is>
          <t>Reference</t>
        </is>
      </c>
      <c r="C4" s="3" t="inlineStr">
        <is>
          <t>Description</t>
        </is>
      </c>
      <c r="D4" s="3" t="inlineStr">
        <is>
          <t>Package / Form</t>
        </is>
      </c>
      <c r="E4" s="3" t="inlineStr">
        <is>
          <t>Qty</t>
        </is>
      </c>
      <c r="F4" s="3" t="inlineStr">
        <is>
          <t>Unit</t>
        </is>
      </c>
      <c r="G4" s="3" t="inlineStr">
        <is>
          <t>Est. Unit (USD)</t>
        </is>
      </c>
      <c r="H4" s="3" t="inlineStr">
        <is>
          <t>Est. Total (USD)</t>
        </is>
      </c>
      <c r="I4" s="3" t="inlineStr">
        <is>
          <t>Supplier / Search Term</t>
        </is>
      </c>
      <c r="J4" s="3" t="inlineStr">
        <is>
          <t>Notes</t>
        </is>
      </c>
    </row>
    <row r="5" ht="18" customHeight="1">
      <c r="A5" s="4" t="inlineStr">
        <is>
          <t>MICROCONTROLLER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1" t="n"/>
    </row>
    <row r="6" ht="36" customHeight="1">
      <c r="A6" s="5" t="n">
        <v>1</v>
      </c>
      <c r="B6" s="6" t="inlineStr">
        <is>
          <t>Arduino Uno R3</t>
        </is>
      </c>
      <c r="C6" s="6" t="inlineStr">
        <is>
          <t>Arduino / clone</t>
        </is>
      </c>
      <c r="D6" s="6" t="n">
        <v>1</v>
      </c>
      <c r="E6" s="5" t="inlineStr">
        <is>
          <t>ea</t>
        </is>
      </c>
      <c r="F6" s="5" t="n">
        <v>4.5</v>
      </c>
      <c r="G6" s="7" t="inlineStr">
        <is>
          <t>AliExpress: 'Arduino Uno R3 clone'</t>
        </is>
      </c>
      <c r="H6" s="8">
        <f>E6*G6</f>
        <v/>
      </c>
      <c r="I6" s="6" t="inlineStr">
        <is>
          <t>Any Uno-compatible board works.</t>
        </is>
      </c>
      <c r="J6" s="6" t="inlineStr"/>
    </row>
    <row r="7" ht="18" customHeight="1">
      <c r="A7" s="4" t="inlineStr">
        <is>
          <t>DISPLAY &amp; ENCODER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1" t="n"/>
    </row>
    <row r="8" ht="36" customHeight="1">
      <c r="A8" s="9" t="n">
        <v>2</v>
      </c>
      <c r="B8" s="10" t="inlineStr">
        <is>
          <t>BIGTREETECH Mini12864 V2.0</t>
        </is>
      </c>
      <c r="C8" s="10" t="inlineStr">
        <is>
          <t>Integrated LCD + encoder module</t>
        </is>
      </c>
      <c r="D8" s="10" t="n">
        <v>1</v>
      </c>
      <c r="E8" s="9" t="inlineStr">
        <is>
          <t>ea</t>
        </is>
      </c>
      <c r="F8" s="9" t="n">
        <v>8</v>
      </c>
      <c r="G8" s="11" t="inlineStr">
        <is>
          <t>AliExpress: 'BTT Mini12864 V2.0'</t>
        </is>
      </c>
      <c r="H8" s="12">
        <f>E8*G8</f>
        <v/>
      </c>
      <c r="I8" s="10" t="inlineStr">
        <is>
          <t>Includes UC1701 display, EC11 encoder, 2 WS2812 LEDs, EXP1+EXP2 connectors.</t>
        </is>
      </c>
      <c r="J8" s="10" t="inlineStr"/>
    </row>
    <row r="9" ht="18" customHeight="1">
      <c r="A9" s="4" t="inlineStr">
        <is>
          <t>STEPPER MOTOR SYSTEM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1" t="n"/>
    </row>
    <row r="10" ht="36" customHeight="1">
      <c r="A10" s="5" t="n">
        <v>3</v>
      </c>
      <c r="B10" s="6" t="inlineStr">
        <is>
          <t>TMC2209 Stepper Driver</t>
        </is>
      </c>
      <c r="C10" s="6" t="inlineStr">
        <is>
          <t>Breakout module</t>
        </is>
      </c>
      <c r="D10" s="6" t="n">
        <v>1</v>
      </c>
      <c r="E10" s="5" t="inlineStr">
        <is>
          <t>ea</t>
        </is>
      </c>
      <c r="F10" s="5" t="n">
        <v>3.5</v>
      </c>
      <c r="G10" s="7" t="inlineStr">
        <is>
          <t>AliExpress: 'TMC2209 stepper driver'</t>
        </is>
      </c>
      <c r="H10" s="8">
        <f>E10*G10</f>
        <v/>
      </c>
      <c r="I10" s="6" t="inlineStr">
        <is>
          <t>EN pin wired directly to GND in this design — no software enable needed.</t>
        </is>
      </c>
      <c r="J10" s="6" t="inlineStr"/>
    </row>
    <row r="11" ht="36" customHeight="1">
      <c r="A11" s="9" t="n">
        <v>4</v>
      </c>
      <c r="B11" s="10" t="inlineStr">
        <is>
          <t>NEMA 17 Stepper Motor</t>
        </is>
      </c>
      <c r="C11" s="10" t="inlineStr">
        <is>
          <t>NEMA 17 body</t>
        </is>
      </c>
      <c r="D11" s="10" t="n">
        <v>1</v>
      </c>
      <c r="E11" s="9" t="inlineStr">
        <is>
          <t>ea</t>
        </is>
      </c>
      <c r="F11" s="9" t="n">
        <v>8</v>
      </c>
      <c r="G11" s="11" t="inlineStr">
        <is>
          <t>AliExpress: 'NEMA 17 stepper 40mm'</t>
        </is>
      </c>
      <c r="H11" s="12">
        <f>E11*G11</f>
        <v/>
      </c>
      <c r="I11" s="10" t="inlineStr">
        <is>
          <t>17HS4401 or similar. 1.5–2 A/phase.</t>
        </is>
      </c>
      <c r="J11" s="10" t="inlineStr"/>
    </row>
    <row r="12" ht="18" customHeight="1">
      <c r="A12" s="4" t="inlineStr">
        <is>
          <t>INFRARED REMOTE CONTROL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n"/>
    </row>
    <row r="13" ht="36" customHeight="1">
      <c r="A13" s="5" t="n">
        <v>5</v>
      </c>
      <c r="B13" s="6" t="inlineStr">
        <is>
          <t>IR Receiver Module</t>
        </is>
      </c>
      <c r="C13" s="6" t="inlineStr">
        <is>
          <t>Through-hole 3-pin</t>
        </is>
      </c>
      <c r="D13" s="6" t="n">
        <v>1</v>
      </c>
      <c r="E13" s="5" t="inlineStr">
        <is>
          <t>ea</t>
        </is>
      </c>
      <c r="F13" s="5" t="n">
        <v>0.8</v>
      </c>
      <c r="G13" s="7" t="inlineStr">
        <is>
          <t>AliExpress: 'VS1838B IR receiver'</t>
        </is>
      </c>
      <c r="H13" s="8">
        <f>E13*G13</f>
        <v/>
      </c>
      <c r="I13" s="6" t="inlineStr">
        <is>
          <t>VS1838B or TSOP4838. 38 kHz.</t>
        </is>
      </c>
      <c r="J13" s="6" t="inlineStr"/>
    </row>
    <row r="14" ht="36" customHeight="1">
      <c r="A14" s="9" t="n">
        <v>6</v>
      </c>
      <c r="B14" s="10" t="inlineStr">
        <is>
          <t>18-Key IR Remote</t>
        </is>
      </c>
      <c r="C14" s="10" t="inlineStr">
        <is>
          <t>Consumer IR remote</t>
        </is>
      </c>
      <c r="D14" s="10" t="n">
        <v>1</v>
      </c>
      <c r="E14" s="9" t="inlineStr">
        <is>
          <t>ea</t>
        </is>
      </c>
      <c r="F14" s="9" t="n">
        <v>1.2</v>
      </c>
      <c r="G14" s="11" t="inlineStr">
        <is>
          <t>AliExpress: '18 key IR remote NEC'</t>
        </is>
      </c>
      <c r="H14" s="12">
        <f>E14*G14</f>
        <v/>
      </c>
      <c r="I14" s="10" t="inlineStr">
        <is>
          <t>NEC protocol.</t>
        </is>
      </c>
      <c r="J14" s="10" t="inlineStr"/>
    </row>
    <row r="15" ht="18" customHeight="1">
      <c r="A15" s="4" t="inlineStr">
        <is>
          <t>ENDSTOPS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1" t="n"/>
    </row>
    <row r="16" ht="36" customHeight="1">
      <c r="A16" s="5" t="n">
        <v>7</v>
      </c>
      <c r="B16" s="6" t="inlineStr">
        <is>
          <t>Mechanical Endstop — NC</t>
        </is>
      </c>
      <c r="C16" s="6" t="inlineStr">
        <is>
          <t>Micro switch NC</t>
        </is>
      </c>
      <c r="D16" s="6" t="n">
        <v>2</v>
      </c>
      <c r="E16" s="5" t="inlineStr">
        <is>
          <t>ea</t>
        </is>
      </c>
      <c r="F16" s="5" t="n">
        <v>0.4</v>
      </c>
      <c r="G16" s="7" t="inlineStr">
        <is>
          <t>AliExpress: 'KW10 micro switch NC'</t>
        </is>
      </c>
      <c r="H16" s="8">
        <f>E16*G16</f>
        <v/>
      </c>
      <c r="I16" s="6" t="inlineStr">
        <is>
          <t>Both switches wired in parallel to D12. NC = safer (broken wire = safe stop).</t>
        </is>
      </c>
      <c r="J16" s="6" t="inlineStr"/>
    </row>
    <row r="17" ht="18" customHeight="1">
      <c r="A17" s="4" t="inlineStr">
        <is>
          <t>EXTERNAL BUTTONS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n"/>
    </row>
    <row r="18" ht="36" customHeight="1">
      <c r="A18" s="9" t="n">
        <v>8</v>
      </c>
      <c r="B18" s="10" t="inlineStr">
        <is>
          <t>LEFT Jog Button</t>
        </is>
      </c>
      <c r="C18" s="10" t="inlineStr">
        <is>
          <t>Panel mount momentary</t>
        </is>
      </c>
      <c r="D18" s="10" t="n">
        <v>1</v>
      </c>
      <c r="E18" s="9" t="inlineStr">
        <is>
          <t>ea</t>
        </is>
      </c>
      <c r="F18" s="9" t="n">
        <v>0.4</v>
      </c>
      <c r="G18" s="11" t="inlineStr">
        <is>
          <t>AliExpress: '12mm momentary push button'</t>
        </is>
      </c>
      <c r="H18" s="12">
        <f>E18*G18</f>
        <v/>
      </c>
      <c r="I18" s="10" t="inlineStr">
        <is>
          <t>Wired to A0. Short press = 1mm step, hold = fast jog.</t>
        </is>
      </c>
      <c r="J18" s="10" t="inlineStr"/>
    </row>
    <row r="19" ht="36" customHeight="1">
      <c r="A19" s="5" t="n">
        <v>9</v>
      </c>
      <c r="B19" s="6" t="inlineStr">
        <is>
          <t>RIGHT Jog Button</t>
        </is>
      </c>
      <c r="C19" s="6" t="inlineStr">
        <is>
          <t>Panel mount momentary</t>
        </is>
      </c>
      <c r="D19" s="6" t="n">
        <v>1</v>
      </c>
      <c r="E19" s="5" t="inlineStr">
        <is>
          <t>ea</t>
        </is>
      </c>
      <c r="F19" s="5" t="n">
        <v>0.4</v>
      </c>
      <c r="G19" s="7" t="inlineStr">
        <is>
          <t>AliExpress: '12mm momentary push button'</t>
        </is>
      </c>
      <c r="H19" s="8">
        <f>E19*G19</f>
        <v/>
      </c>
      <c r="I19" s="6" t="inlineStr">
        <is>
          <t>Wired to D5. Short press = 1mm step, hold = fast jog.</t>
        </is>
      </c>
      <c r="J19" s="6" t="inlineStr"/>
    </row>
    <row r="20" ht="36" customHeight="1">
      <c r="A20" s="9" t="n">
        <v>10</v>
      </c>
      <c r="B20" s="10" t="inlineStr">
        <is>
          <t>PLAY/PAUSE Button</t>
        </is>
      </c>
      <c r="C20" s="10" t="inlineStr">
        <is>
          <t>Panel mount momentary</t>
        </is>
      </c>
      <c r="D20" s="10" t="n">
        <v>1</v>
      </c>
      <c r="E20" s="9" t="inlineStr">
        <is>
          <t>ea</t>
        </is>
      </c>
      <c r="F20" s="9" t="n">
        <v>0.5</v>
      </c>
      <c r="G20" s="11" t="inlineStr">
        <is>
          <t>AliExpress: '16mm momentary push button'</t>
        </is>
      </c>
      <c r="H20" s="12">
        <f>E20*G20</f>
        <v/>
      </c>
      <c r="I20" s="10" t="inlineStr">
        <is>
          <t>Wired to D6. Short = start/pause/resume, hold = cancel. Recommend a distinct colour from jog buttons.</t>
        </is>
      </c>
      <c r="J20" s="10" t="inlineStr"/>
    </row>
    <row r="21" ht="18" customHeight="1">
      <c r="A21" s="4" t="inlineStr">
        <is>
          <t>CONNECTORS &amp; HEADERS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1" t="n"/>
    </row>
    <row r="22" ht="36" customHeight="1">
      <c r="A22" s="5" t="n">
        <v>11</v>
      </c>
      <c r="B22" s="6" t="inlineStr">
        <is>
          <t>IDC Ribbon Cable 10-pin — EXP1</t>
        </is>
      </c>
      <c r="C22" s="6" t="inlineStr">
        <is>
          <t>2×5 IDC 2.54mm</t>
        </is>
      </c>
      <c r="D22" s="6" t="n">
        <v>1</v>
      </c>
      <c r="E22" s="5" t="inlineStr">
        <is>
          <t>ea</t>
        </is>
      </c>
      <c r="F22" s="5" t="n">
        <v>0.5</v>
      </c>
      <c r="G22" s="7" t="inlineStr">
        <is>
          <t>AliExpress: '10 pin IDC ribbon cable 2.54mm'</t>
        </is>
      </c>
      <c r="H22" s="8">
        <f>E22*G22</f>
        <v/>
      </c>
      <c r="I22" s="6" t="inlineStr">
        <is>
          <t>Connects Mini12864 EXP1 to Arduino. Match BTT Mini12864 connector spacing.</t>
        </is>
      </c>
      <c r="J22" s="6" t="inlineStr"/>
    </row>
    <row r="23" ht="36" customHeight="1">
      <c r="A23" s="9" t="n">
        <v>12</v>
      </c>
      <c r="B23" s="10" t="inlineStr">
        <is>
          <t>IDC Ribbon Cable 10-pin — EXP2</t>
        </is>
      </c>
      <c r="C23" s="10" t="inlineStr">
        <is>
          <t>2×5 IDC 2.54mm</t>
        </is>
      </c>
      <c r="D23" s="10" t="n">
        <v>1</v>
      </c>
      <c r="E23" s="9" t="inlineStr">
        <is>
          <t>ea</t>
        </is>
      </c>
      <c r="F23" s="9" t="n">
        <v>0.5</v>
      </c>
      <c r="G23" s="11" t="inlineStr">
        <is>
          <t>AliExpress: '10 pin IDC ribbon cable 2.54mm'</t>
        </is>
      </c>
      <c r="H23" s="12">
        <f>E23*G23</f>
        <v/>
      </c>
      <c r="I23" s="10" t="inlineStr">
        <is>
          <t>Connects Mini12864 EXP2 to Arduino.</t>
        </is>
      </c>
      <c r="J23" s="10" t="inlineStr"/>
    </row>
    <row r="24" ht="36" customHeight="1">
      <c r="A24" s="5" t="n">
        <v>13</v>
      </c>
      <c r="B24" s="6" t="inlineStr">
        <is>
          <t>4-pin Screw Terminal — Motor</t>
        </is>
      </c>
      <c r="C24" s="6" t="inlineStr">
        <is>
          <t>5.08mm pitch</t>
        </is>
      </c>
      <c r="D24" s="6" t="n">
        <v>1</v>
      </c>
      <c r="E24" s="5" t="inlineStr">
        <is>
          <t>ea</t>
        </is>
      </c>
      <c r="F24" s="5" t="n">
        <v>0.25</v>
      </c>
      <c r="G24" s="7" t="inlineStr">
        <is>
          <t>AliExpress: '5.08mm 4pin screw terminal'</t>
        </is>
      </c>
      <c r="H24" s="8">
        <f>E24*G24</f>
        <v/>
      </c>
      <c r="I24" s="6" t="inlineStr">
        <is>
          <t>A+, A-, B+, B- motor wires.</t>
        </is>
      </c>
      <c r="J24" s="6" t="inlineStr"/>
    </row>
    <row r="25" ht="36" customHeight="1">
      <c r="A25" s="9" t="n">
        <v>14</v>
      </c>
      <c r="B25" s="10" t="inlineStr">
        <is>
          <t>2-pin Screw Terminal — Endstops</t>
        </is>
      </c>
      <c r="C25" s="10" t="inlineStr">
        <is>
          <t>5.08mm pitch</t>
        </is>
      </c>
      <c r="D25" s="10" t="n">
        <v>1</v>
      </c>
      <c r="E25" s="9" t="inlineStr">
        <is>
          <t>ea</t>
        </is>
      </c>
      <c r="F25" s="9" t="n">
        <v>0.15</v>
      </c>
      <c r="G25" s="11" t="inlineStr">
        <is>
          <t>AliExpress: '5.08mm 2pin screw terminal'</t>
        </is>
      </c>
      <c r="H25" s="12">
        <f>E25*G25</f>
        <v/>
      </c>
      <c r="I25" s="10" t="inlineStr">
        <is>
          <t>Both endstops wired in parallel before this terminal.</t>
        </is>
      </c>
      <c r="J25" s="10" t="inlineStr"/>
    </row>
    <row r="26" ht="36" customHeight="1">
      <c r="A26" s="5" t="n">
        <v>15</v>
      </c>
      <c r="B26" s="6" t="inlineStr">
        <is>
          <t>2-pin Screw Terminal — PSU</t>
        </is>
      </c>
      <c r="C26" s="6" t="inlineStr">
        <is>
          <t>5.08mm pitch</t>
        </is>
      </c>
      <c r="D26" s="6" t="n">
        <v>1</v>
      </c>
      <c r="E26" s="5" t="inlineStr">
        <is>
          <t>ea</t>
        </is>
      </c>
      <c r="F26" s="5" t="n">
        <v>0.15</v>
      </c>
      <c r="G26" s="7" t="inlineStr">
        <is>
          <t>AliExpress: '5.08mm 2pin screw terminal'</t>
        </is>
      </c>
      <c r="H26" s="8">
        <f>E26*G26</f>
        <v/>
      </c>
      <c r="I26" s="6" t="inlineStr">
        <is>
          <t>12–24V motor supply input.</t>
        </is>
      </c>
      <c r="J26" s="6" t="inlineStr"/>
    </row>
    <row r="27" ht="36" customHeight="1">
      <c r="A27" s="9" t="n">
        <v>16</v>
      </c>
      <c r="B27" s="10" t="inlineStr">
        <is>
          <t>DC Barrel Jack</t>
        </is>
      </c>
      <c r="C27" s="10" t="inlineStr">
        <is>
          <t>PCB mount 5.5/2.1mm</t>
        </is>
      </c>
      <c r="D27" s="10" t="n">
        <v>1</v>
      </c>
      <c r="E27" s="9" t="inlineStr">
        <is>
          <t>ea</t>
        </is>
      </c>
      <c r="F27" s="9" t="n">
        <v>0.3</v>
      </c>
      <c r="G27" s="11" t="inlineStr">
        <is>
          <t>AliExpress: 'DC barrel jack PCB 5.5mm'</t>
        </is>
      </c>
      <c r="H27" s="12">
        <f>E27*G27</f>
        <v/>
      </c>
      <c r="I27" s="10" t="inlineStr">
        <is>
          <t>Alternative to screw terminal for PSU.</t>
        </is>
      </c>
      <c r="J27" s="10" t="inlineStr"/>
    </row>
    <row r="28" ht="36" customHeight="1">
      <c r="A28" s="5" t="n">
        <v>17</v>
      </c>
      <c r="B28" s="6" t="inlineStr">
        <is>
          <t>Pin Header — Arduino socket</t>
        </is>
      </c>
      <c r="C28" s="6" t="inlineStr">
        <is>
          <t>2.54mm female strips</t>
        </is>
      </c>
      <c r="D28" s="6" t="n">
        <v>1</v>
      </c>
      <c r="E28" s="5" t="inlineStr">
        <is>
          <t>set</t>
        </is>
      </c>
      <c r="F28" s="5" t="n">
        <v>0.8</v>
      </c>
      <c r="G28" s="7" t="inlineStr">
        <is>
          <t>AliExpress: '2.54mm female pin header'</t>
        </is>
      </c>
      <c r="H28" s="8">
        <f>E28*G28</f>
        <v/>
      </c>
      <c r="I28" s="6" t="inlineStr">
        <is>
          <t>Socket Uno so it can be removed for reprogramming.</t>
        </is>
      </c>
      <c r="J28" s="6" t="inlineStr"/>
    </row>
    <row r="29" ht="36" customHeight="1">
      <c r="A29" s="9" t="n">
        <v>18</v>
      </c>
      <c r="B29" s="10" t="inlineStr">
        <is>
          <t>Pin Header — TMC2209 socket</t>
        </is>
      </c>
      <c r="C29" s="10" t="inlineStr">
        <is>
          <t>2.54mm female strips</t>
        </is>
      </c>
      <c r="D29" s="10" t="n">
        <v>1</v>
      </c>
      <c r="E29" s="9" t="inlineStr">
        <is>
          <t>set</t>
        </is>
      </c>
      <c r="F29" s="9" t="n">
        <v>0.3</v>
      </c>
      <c r="G29" s="11" t="inlineStr">
        <is>
          <t>AliExpress: '2.54mm female pin header'</t>
        </is>
      </c>
      <c r="H29" s="12">
        <f>E29*G29</f>
        <v/>
      </c>
      <c r="I29" s="10" t="inlineStr">
        <is>
          <t>Socket driver for easy replacement.</t>
        </is>
      </c>
      <c r="J29" s="10" t="inlineStr"/>
    </row>
    <row r="30" ht="36" customHeight="1">
      <c r="A30" s="5" t="n">
        <v>19</v>
      </c>
      <c r="B30" s="6" t="inlineStr">
        <is>
          <t>Screw terminals — buttons (×3)</t>
        </is>
      </c>
      <c r="C30" s="6" t="inlineStr">
        <is>
          <t>2.54mm 2-pin</t>
        </is>
      </c>
      <c r="D30" s="6" t="n">
        <v>3</v>
      </c>
      <c r="E30" s="5" t="inlineStr">
        <is>
          <t>ea</t>
        </is>
      </c>
      <c r="F30" s="5" t="n">
        <v>0.1</v>
      </c>
      <c r="G30" s="7" t="inlineStr">
        <is>
          <t>AliExpress: '2.54mm 2pin screw terminal'</t>
        </is>
      </c>
      <c r="H30" s="8">
        <f>E30*G30</f>
        <v/>
      </c>
      <c r="I30" s="6" t="inlineStr">
        <is>
          <t>One per external button (LEFT, RIGHT, PLAY/PAUSE).</t>
        </is>
      </c>
      <c r="J30" s="6" t="inlineStr"/>
    </row>
    <row r="31" ht="18" customHeight="1">
      <c r="A31" s="4" t="inlineStr">
        <is>
          <t>PASSIVES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1" t="n"/>
    </row>
    <row r="32" ht="36" customHeight="1">
      <c r="A32" s="9" t="n">
        <v>20</v>
      </c>
      <c r="B32" s="10" t="inlineStr">
        <is>
          <t>Resistor 220Ω — Power LED</t>
        </is>
      </c>
      <c r="C32" s="10" t="inlineStr">
        <is>
          <t>1/4W through-hole</t>
        </is>
      </c>
      <c r="D32" s="10" t="n">
        <v>1</v>
      </c>
      <c r="E32" s="9" t="inlineStr">
        <is>
          <t>ea</t>
        </is>
      </c>
      <c r="F32" s="9" t="n">
        <v>0.02</v>
      </c>
      <c r="G32" s="11" t="inlineStr">
        <is>
          <t>Any supplier</t>
        </is>
      </c>
      <c r="H32" s="12">
        <f>E32*G32</f>
        <v/>
      </c>
      <c r="I32" s="10" t="inlineStr">
        <is>
          <t>Current limit for indicator LED.</t>
        </is>
      </c>
      <c r="J32" s="10" t="inlineStr"/>
    </row>
    <row r="33" ht="36" customHeight="1">
      <c r="A33" s="5" t="n">
        <v>21</v>
      </c>
      <c r="B33" s="6" t="inlineStr">
        <is>
          <t>LED — Power indicator</t>
        </is>
      </c>
      <c r="C33" s="6" t="inlineStr">
        <is>
          <t>5mm through-hole</t>
        </is>
      </c>
      <c r="D33" s="6" t="n">
        <v>1</v>
      </c>
      <c r="E33" s="5" t="inlineStr">
        <is>
          <t>ea</t>
        </is>
      </c>
      <c r="F33" s="5" t="n">
        <v>0.05</v>
      </c>
      <c r="G33" s="7" t="inlineStr">
        <is>
          <t>AliExpress: '5mm green LED'</t>
        </is>
      </c>
      <c r="H33" s="8">
        <f>E33*G33</f>
        <v/>
      </c>
      <c r="I33" s="6" t="inlineStr">
        <is>
          <t>Connect via R1 to 5V and GND.</t>
        </is>
      </c>
      <c r="J33" s="6" t="inlineStr"/>
    </row>
    <row r="34" ht="36" customHeight="1">
      <c r="A34" s="9" t="n">
        <v>22</v>
      </c>
      <c r="B34" s="10" t="inlineStr">
        <is>
          <t>100nF ceramic capacitor</t>
        </is>
      </c>
      <c r="C34" s="10" t="inlineStr">
        <is>
          <t>Through-hole</t>
        </is>
      </c>
      <c r="D34" s="10" t="n">
        <v>3</v>
      </c>
      <c r="E34" s="9" t="inlineStr">
        <is>
          <t>ea</t>
        </is>
      </c>
      <c r="F34" s="9" t="n">
        <v>0.03</v>
      </c>
      <c r="G34" s="11" t="inlineStr">
        <is>
          <t>AliExpress: '100nF 104 ceramic'</t>
        </is>
      </c>
      <c r="H34" s="12">
        <f>E34*G34</f>
        <v/>
      </c>
      <c r="I34" s="10" t="inlineStr">
        <is>
          <t>Decoupling: one each near TMC2209 VIO, IR VCC, Arduino 5V.</t>
        </is>
      </c>
      <c r="J34" s="10" t="inlineStr"/>
    </row>
    <row r="35" ht="36" customHeight="1">
      <c r="A35" s="5" t="n">
        <v>23</v>
      </c>
      <c r="B35" s="6" t="inlineStr">
        <is>
          <t>100µF 25V electrolytic</t>
        </is>
      </c>
      <c r="C35" s="6" t="inlineStr">
        <is>
          <t>Through-hole</t>
        </is>
      </c>
      <c r="D35" s="6" t="n">
        <v>1</v>
      </c>
      <c r="E35" s="5" t="inlineStr">
        <is>
          <t>ea</t>
        </is>
      </c>
      <c r="F35" s="5" t="n">
        <v>0.1</v>
      </c>
      <c r="G35" s="7" t="inlineStr">
        <is>
          <t>AliExpress: '100uF 25V electrolytic'</t>
        </is>
      </c>
      <c r="H35" s="8">
        <f>E35*G35</f>
        <v/>
      </c>
      <c r="I35" s="6" t="inlineStr">
        <is>
          <t>Bulk decoupling across motor PSU input.</t>
        </is>
      </c>
      <c r="J35" s="6" t="inlineStr"/>
    </row>
    <row r="36" ht="18" customHeight="1">
      <c r="A36" s="4" t="inlineStr">
        <is>
          <t>PCB &amp; MECHANICAL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1" t="n"/>
    </row>
    <row r="37" ht="36" customHeight="1">
      <c r="A37" s="9" t="n">
        <v>24</v>
      </c>
      <c r="B37" s="10" t="inlineStr">
        <is>
          <t>Custom PCB</t>
        </is>
      </c>
      <c r="C37" s="10" t="inlineStr">
        <is>
          <t>EasyEDA → JLCPCB</t>
        </is>
      </c>
      <c r="D37" s="10" t="n">
        <v>5</v>
      </c>
      <c r="E37" s="9" t="inlineStr">
        <is>
          <t>ea</t>
        </is>
      </c>
      <c r="F37" s="9" t="n">
        <v>1</v>
      </c>
      <c r="G37" s="11" t="inlineStr">
        <is>
          <t>jlcpcb.com</t>
        </is>
      </c>
      <c r="H37" s="12">
        <f>E37*G37</f>
        <v/>
      </c>
      <c r="I37" s="10" t="inlineStr">
        <is>
          <t>Min order 5. ~$5–10 + shipping for 2-layer standard.</t>
        </is>
      </c>
      <c r="J37" s="10" t="inlineStr"/>
    </row>
    <row r="38" ht="36" customHeight="1">
      <c r="A38" s="5" t="n">
        <v>25</v>
      </c>
      <c r="B38" s="6" t="inlineStr">
        <is>
          <t>M3 standoffs + screws</t>
        </is>
      </c>
      <c r="C38" s="6" t="inlineStr">
        <is>
          <t>M3×10mm brass</t>
        </is>
      </c>
      <c r="D38" s="6" t="n">
        <v>4</v>
      </c>
      <c r="E38" s="5" t="inlineStr">
        <is>
          <t>set</t>
        </is>
      </c>
      <c r="F38" s="5" t="n">
        <v>0.1</v>
      </c>
      <c r="G38" s="7" t="inlineStr">
        <is>
          <t>AliExpress: 'M3 brass standoff 10mm'</t>
        </is>
      </c>
      <c r="H38" s="8">
        <f>E38*G38</f>
        <v/>
      </c>
      <c r="I38" s="6" t="inlineStr">
        <is>
          <t>PCB mounting in enclosure.</t>
        </is>
      </c>
      <c r="J38" s="6" t="inlineStr"/>
    </row>
    <row r="39" ht="36" customHeight="1">
      <c r="A39" s="9" t="n">
        <v>26</v>
      </c>
      <c r="B39" s="10" t="inlineStr">
        <is>
          <t>Project enclosure</t>
        </is>
      </c>
      <c r="C39" s="10" t="inlineStr">
        <is>
          <t>ABS/aluminium</t>
        </is>
      </c>
      <c r="D39" s="10" t="n">
        <v>1</v>
      </c>
      <c r="E39" s="9" t="inlineStr">
        <is>
          <t>ea</t>
        </is>
      </c>
      <c r="F39" s="9" t="n">
        <v>5</v>
      </c>
      <c r="G39" s="11" t="inlineStr">
        <is>
          <t>AliExpress: 'ABS enclosure 120x80mm'</t>
        </is>
      </c>
      <c r="H39" s="12">
        <f>E39*G39</f>
        <v/>
      </c>
      <c r="I39" s="10" t="inlineStr">
        <is>
          <t>Needs cutouts for Mini12864, 3 buttons, IR receiver, connectors.</t>
        </is>
      </c>
      <c r="J39" s="10" t="inlineStr"/>
    </row>
    <row r="40" ht="6" customHeight="1"/>
    <row r="41" ht="18" customHeight="1">
      <c r="A41" s="22" t="inlineStr">
        <is>
          <t>HANDHELD CABLE &amp; CONNECTORS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1" t="n"/>
    </row>
    <row r="42" ht="36" customHeight="1">
      <c r="A42" s="5" t="n">
        <v>27</v>
      </c>
      <c r="B42" s="6" t="inlineStr">
        <is>
          <t>W1</t>
        </is>
      </c>
      <c r="C42" s="6" t="inlineStr">
        <is>
          <t>16-conductor ribbon cable 28AWG</t>
        </is>
      </c>
      <c r="D42" s="6" t="inlineStr">
        <is>
          <t>Flat ribbon 2.54mm</t>
        </is>
      </c>
      <c r="E42" s="5" t="n">
        <v>1</v>
      </c>
      <c r="F42" s="5" t="inlineStr">
        <is>
          <t>m</t>
        </is>
      </c>
      <c r="G42" s="7" t="n">
        <v>0.8</v>
      </c>
      <c r="H42" s="8">
        <f>E42*G42</f>
        <v/>
      </c>
      <c r="I42" s="6" t="inlineStr">
        <is>
          <t>AliExpress: '16 conductor ribbon cable 28AWG'</t>
        </is>
      </c>
      <c r="J42" s="6" t="inlineStr">
        <is>
          <t>Cut to 60cm.</t>
        </is>
      </c>
    </row>
    <row r="43" ht="36" customHeight="1">
      <c r="A43" s="9" t="n">
        <v>28</v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1" t="n"/>
    </row>
    <row r="44" ht="36" customHeight="1">
      <c r="A44" s="5" t="n">
        <v>29</v>
      </c>
      <c r="B44" s="6" t="inlineStr">
        <is>
          <t>J_P</t>
        </is>
      </c>
      <c r="C44" s="6" t="inlineStr">
        <is>
          <t>2x8 IDC shrouded male header — PCB</t>
        </is>
      </c>
      <c r="D44" s="6" t="inlineStr">
        <is>
          <t>16-pin shrouded IDC 2.54mm</t>
        </is>
      </c>
      <c r="E44" s="5" t="n">
        <v>1</v>
      </c>
      <c r="F44" s="5" t="inlineStr">
        <is>
          <t>ea</t>
        </is>
      </c>
      <c r="G44" s="7" t="n">
        <v>0.25</v>
      </c>
      <c r="H44" s="8">
        <f>E44*G44</f>
        <v/>
      </c>
      <c r="I44" s="6" t="inlineStr">
        <is>
          <t>AliExpress: '16 pin IDC shrouded header 2.54mm'</t>
        </is>
      </c>
      <c r="J44" s="6" t="inlineStr">
        <is>
          <t>Shrouded prevents mis-insertion.</t>
        </is>
      </c>
    </row>
    <row r="45" ht="36" customHeight="1">
      <c r="A45" s="9" t="n">
        <v>30</v>
      </c>
      <c r="B45" s="10" t="inlineStr">
        <is>
          <t>SR1</t>
        </is>
      </c>
      <c r="C45" s="10" t="inlineStr">
        <is>
          <t>IDC strain relief clip</t>
        </is>
      </c>
      <c r="D45" s="10" t="inlineStr">
        <is>
          <t>For 16-pin IDC</t>
        </is>
      </c>
      <c r="E45" s="9" t="n">
        <v>2</v>
      </c>
      <c r="F45" s="9" t="inlineStr">
        <is>
          <t>ea</t>
        </is>
      </c>
      <c r="G45" s="11" t="n">
        <v>0.1</v>
      </c>
      <c r="H45" s="12">
        <f>E45*G45</f>
        <v/>
      </c>
      <c r="I45" s="10" t="inlineStr">
        <is>
          <t>AliExpress: 'IDC strain relief 16 pin'</t>
        </is>
      </c>
      <c r="J45" s="10" t="inlineStr">
        <is>
          <t>One per cable end.</t>
        </is>
      </c>
    </row>
    <row r="46" ht="18" customHeight="1">
      <c r="A46" s="22" t="inlineStr">
        <is>
          <t>CABLE SIGNAL INTEGRITY</t>
        </is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1" t="n"/>
    </row>
    <row r="47" ht="36" customHeight="1">
      <c r="A47" s="5" t="n">
        <v>31</v>
      </c>
      <c r="B47" s="6" t="inlineStr">
        <is>
          <t>R_N</t>
        </is>
      </c>
      <c r="C47" s="6" t="inlineStr">
        <is>
          <t>Resistor 470 Ohm — NeoPixel data</t>
        </is>
      </c>
      <c r="D47" s="6" t="inlineStr">
        <is>
          <t>1/4W through-hole</t>
        </is>
      </c>
      <c r="E47" s="5" t="n">
        <v>1</v>
      </c>
      <c r="F47" s="5" t="inlineStr">
        <is>
          <t>ea</t>
        </is>
      </c>
      <c r="G47" s="7" t="n">
        <v>0.02</v>
      </c>
      <c r="H47" s="8">
        <f>E47*G47</f>
        <v/>
      </c>
      <c r="I47" s="6" t="inlineStr">
        <is>
          <t>Any supplier</t>
        </is>
      </c>
      <c r="J47" s="6" t="inlineStr">
        <is>
          <t>Series on NeoPixel data at PCB end. Damps reflections on 60cm run.</t>
        </is>
      </c>
    </row>
    <row r="48" ht="36" customHeight="1">
      <c r="A48" s="9" t="n">
        <v>32</v>
      </c>
      <c r="B48" s="10" t="inlineStr">
        <is>
          <t>C_E1</t>
        </is>
      </c>
      <c r="C48" s="10" t="inlineStr">
        <is>
          <t>Cap 100nF — ENC_CLK filter</t>
        </is>
      </c>
      <c r="D48" s="10" t="inlineStr">
        <is>
          <t>Through-hole ceramic</t>
        </is>
      </c>
      <c r="E48" s="9" t="n">
        <v>1</v>
      </c>
      <c r="F48" s="9" t="inlineStr">
        <is>
          <t>ea</t>
        </is>
      </c>
      <c r="G48" s="11" t="n">
        <v>0.03</v>
      </c>
      <c r="H48" s="12">
        <f>E48*G48</f>
        <v/>
      </c>
      <c r="I48" s="10" t="inlineStr">
        <is>
          <t>AliExpress: '100nF ceramic'</t>
        </is>
      </c>
      <c r="J48" s="10" t="inlineStr">
        <is>
          <t>ENC_CLK to GND at PCB end. Prevents phantom scroll.</t>
        </is>
      </c>
    </row>
    <row r="49" ht="36" customHeight="1">
      <c r="A49" s="5" t="n">
        <v>33</v>
      </c>
      <c r="B49" s="6" t="inlineStr">
        <is>
          <t>C_E2</t>
        </is>
      </c>
      <c r="C49" s="6" t="inlineStr">
        <is>
          <t>Cap 100nF — ENC_DT filter</t>
        </is>
      </c>
      <c r="D49" s="6" t="inlineStr">
        <is>
          <t>Through-hole ceramic</t>
        </is>
      </c>
      <c r="E49" s="5" t="n">
        <v>1</v>
      </c>
      <c r="F49" s="5" t="inlineStr">
        <is>
          <t>ea</t>
        </is>
      </c>
      <c r="G49" s="7" t="n">
        <v>0.03</v>
      </c>
      <c r="H49" s="8">
        <f>E49*G49</f>
        <v/>
      </c>
      <c r="I49" s="6" t="inlineStr">
        <is>
          <t>AliExpress: '100nF ceramic'</t>
        </is>
      </c>
      <c r="J49" s="6" t="inlineStr">
        <is>
          <t>ENC_DT to GND at PCB end.</t>
        </is>
      </c>
    </row>
    <row r="50"/>
    <row r="51" ht="18" customHeight="1">
      <c r="A51" s="22" t="inlineStr">
        <is>
          <t>HANDHELD CABLE OPTION B — DB15 (VGA)</t>
        </is>
      </c>
      <c r="B51" s="20" t="n"/>
      <c r="C51" s="20" t="n"/>
      <c r="D51" s="20" t="n"/>
      <c r="E51" s="20" t="n"/>
      <c r="F51" s="20" t="n"/>
      <c r="G51" s="20" t="n"/>
      <c r="H51" s="20" t="n"/>
      <c r="I51" s="20" t="n"/>
      <c r="J51" s="21" t="n"/>
    </row>
    <row r="52" ht="40" customHeight="1">
      <c r="A52" s="9" t="n">
        <v>34</v>
      </c>
      <c r="B52" s="10" t="inlineStr">
        <is>
          <t>J_DB15H</t>
        </is>
      </c>
      <c r="C52" s="10" t="inlineStr">
        <is>
          <t>DB15 female panel-mount connector — handheld</t>
        </is>
      </c>
      <c r="D52" s="10" t="inlineStr">
        <is>
          <t>DE-15 female chassis mount</t>
        </is>
      </c>
      <c r="E52" s="9" t="n">
        <v>1</v>
      </c>
      <c r="F52" s="9" t="inlineStr">
        <is>
          <t>ea</t>
        </is>
      </c>
      <c r="G52" s="11" t="n">
        <v>0.6</v>
      </c>
      <c r="H52" s="12">
        <f>E52*G52</f>
        <v/>
      </c>
      <c r="I52" s="10" t="inlineStr">
        <is>
          <t>AliExpress: 'DB15 female panel mount connector'</t>
        </is>
      </c>
      <c r="J52" s="10" t="inlineStr">
        <is>
          <t>Option B connector for handheld enclosure. Locking screws keep cable secure.</t>
        </is>
      </c>
    </row>
    <row r="53" ht="40" customHeight="1">
      <c r="A53" s="5" t="n">
        <v>35</v>
      </c>
      <c r="B53" s="6" t="inlineStr">
        <is>
          <t>J_DB15P</t>
        </is>
      </c>
      <c r="C53" s="6" t="inlineStr">
        <is>
          <t>DB15 male panel-mount connector — PCB/chassis</t>
        </is>
      </c>
      <c r="D53" s="6" t="inlineStr">
        <is>
          <t>DE-15 male chassis mount</t>
        </is>
      </c>
      <c r="E53" s="5" t="n">
        <v>1</v>
      </c>
      <c r="F53" s="5" t="inlineStr">
        <is>
          <t>ea</t>
        </is>
      </c>
      <c r="G53" s="7" t="n">
        <v>0.6</v>
      </c>
      <c r="H53" s="8">
        <f>E53*G53</f>
        <v/>
      </c>
      <c r="I53" s="6" t="inlineStr">
        <is>
          <t>AliExpress: 'DB15 male panel mount connector'</t>
        </is>
      </c>
      <c r="J53" s="6" t="inlineStr">
        <is>
          <t>Option B connector for main controller enclosure.</t>
        </is>
      </c>
    </row>
    <row r="54" ht="40" customHeight="1">
      <c r="A54" s="9" t="n">
        <v>36</v>
      </c>
      <c r="B54" s="10" t="inlineStr">
        <is>
          <t>W_DB15</t>
        </is>
      </c>
      <c r="C54" s="10" t="inlineStr">
        <is>
          <t>DB15 cable 0.5m — pre-made</t>
        </is>
      </c>
      <c r="D54" s="10" t="inlineStr">
        <is>
          <t>DE-15 male-to-male 0.5m</t>
        </is>
      </c>
      <c r="E54" s="9" t="n">
        <v>1</v>
      </c>
      <c r="F54" s="9" t="inlineStr">
        <is>
          <t>ea</t>
        </is>
      </c>
      <c r="G54" s="11" t="n">
        <v>2</v>
      </c>
      <c r="H54" s="12">
        <f>E54*G54</f>
        <v/>
      </c>
      <c r="I54" s="10" t="inlineStr">
        <is>
          <t>AliExpress: 'VGA cable 0.5m' or 'DB15 cable 0.5m'</t>
        </is>
      </c>
      <c r="J54" s="10" t="inlineStr">
        <is>
          <t>Standard VGA cable works perfectly. Male-to-male, 0.5m. Uses 14 of 15 pins — pin 15 doubles as extra GND. Locking screws at both ends prevent accidental disconnection.</t>
        </is>
      </c>
    </row>
    <row r="55"/>
    <row r="56" ht="18" customHeight="1">
      <c r="A56" s="22" t="inlineStr">
        <is>
          <t>HANDHELD CABLE OPTION C — DB25 (SERIAL/PARALLEL CABLE)</t>
        </is>
      </c>
    </row>
    <row r="57" ht="40" customHeight="1">
      <c r="A57" s="5" t="n">
        <v>37</v>
      </c>
      <c r="B57" s="6" t="inlineStr">
        <is>
          <t>J_D25H</t>
        </is>
      </c>
      <c r="C57" s="6" t="inlineStr">
        <is>
          <t>DB25 female panel-mount connector — handheld</t>
        </is>
      </c>
      <c r="D57" s="6" t="inlineStr">
        <is>
          <t>DE-25 female chassis mount</t>
        </is>
      </c>
      <c r="E57" s="5" t="n">
        <v>1</v>
      </c>
      <c r="F57" s="5" t="inlineStr">
        <is>
          <t>ea</t>
        </is>
      </c>
      <c r="G57" s="7" t="n">
        <v>0.5</v>
      </c>
      <c r="H57" s="8">
        <f>E57*G57</f>
        <v/>
      </c>
      <c r="I57" s="6" t="inlineStr">
        <is>
          <t>AliExpress: 'DB25 female panel mount connector'</t>
        </is>
      </c>
      <c r="J57" s="6" t="inlineStr">
        <is>
          <t>Option C connector for handheld enclosure. All 25 pins always wired. Locking screws. Old parallel port cables work perfectly.</t>
        </is>
      </c>
    </row>
    <row r="58" ht="40" customHeight="1">
      <c r="A58" s="9" t="n">
        <v>38</v>
      </c>
      <c r="B58" s="10" t="inlineStr">
        <is>
          <t>J_D25P</t>
        </is>
      </c>
      <c r="C58" s="10" t="inlineStr">
        <is>
          <t>DB25 male panel-mount connector — PCB/chassis</t>
        </is>
      </c>
      <c r="D58" s="10" t="inlineStr">
        <is>
          <t>DE-25 male chassis mount</t>
        </is>
      </c>
      <c r="E58" s="9" t="n">
        <v>1</v>
      </c>
      <c r="F58" s="9" t="inlineStr">
        <is>
          <t>ea</t>
        </is>
      </c>
      <c r="G58" s="11" t="n">
        <v>0.5</v>
      </c>
      <c r="H58" s="12">
        <f>E58*G58</f>
        <v/>
      </c>
      <c r="I58" s="10" t="inlineStr">
        <is>
          <t>AliExpress: 'DB25 male panel mount connector'</t>
        </is>
      </c>
      <c r="J58" s="10" t="inlineStr">
        <is>
          <t>Option C connector for main controller enclosure.</t>
        </is>
      </c>
    </row>
    <row r="59" ht="40" customHeight="1">
      <c r="A59" s="5" t="n">
        <v>39</v>
      </c>
      <c r="B59" s="6" t="inlineStr">
        <is>
          <t>W_D25</t>
        </is>
      </c>
      <c r="C59" s="6" t="inlineStr">
        <is>
          <t>DB25 cable — pre-made (use existing serial/parallel cable)</t>
        </is>
      </c>
      <c r="D59" s="6" t="inlineStr">
        <is>
          <t>DE-25 male-to-female or male-to-male</t>
        </is>
      </c>
      <c r="E59" s="5" t="n">
        <v>1</v>
      </c>
      <c r="F59" s="5" t="inlineStr">
        <is>
          <t>ea</t>
        </is>
      </c>
      <c r="G59" s="7" t="n">
        <v>0</v>
      </c>
      <c r="H59" s="8">
        <f>E59*G59</f>
        <v/>
      </c>
      <c r="I59" s="6" t="inlineStr">
        <is>
          <t>Existing stock — old PC serial or parallel port cable</t>
        </is>
      </c>
      <c r="J59" s="6" t="inlineStr">
        <is>
          <t>All 25 pins guaranteed wired. Uses 16 of 25 pins — 9 spares for future use. Male-to-female straight-through (not null modem). Verify with continuity checker before use.</t>
        </is>
      </c>
    </row>
    <row r="61">
      <c r="A61" s="13" t="inlineStr">
        <is>
          <t>ESTIMATED TOTAL (USD)</t>
        </is>
      </c>
      <c r="H61" s="14">
        <f>SUMIF(E5:E39,"&gt;0",H5:H39)</f>
        <v/>
      </c>
      <c r="I61" s="15" t="n"/>
      <c r="J61" s="15" t="n"/>
    </row>
    <row r="62"/>
    <row r="63">
      <c r="A63" s="16" t="inlineStr">
        <is>
          <t>* Prices estimated from AliExpress/generic suppliers. Shipping not included. BTT Mini12864 replaces SH1106 OLED + external EC11 module from original design.</t>
        </is>
      </c>
    </row>
  </sheetData>
  <mergeCells count="17">
    <mergeCell ref="A1:J1"/>
    <mergeCell ref="A46:J46"/>
    <mergeCell ref="A5:J5"/>
    <mergeCell ref="A36:J36"/>
    <mergeCell ref="A31:J31"/>
    <mergeCell ref="A17:J17"/>
    <mergeCell ref="A9:J9"/>
    <mergeCell ref="A56:J56"/>
    <mergeCell ref="A21:J21"/>
    <mergeCell ref="A12:J12"/>
    <mergeCell ref="A7:J7"/>
    <mergeCell ref="A15:J15"/>
    <mergeCell ref="A43:J43"/>
    <mergeCell ref="A2:J2"/>
    <mergeCell ref="A41:G41"/>
    <mergeCell ref="A41:J41"/>
    <mergeCell ref="A51:J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6" customWidth="1" min="3" max="3"/>
  </cols>
  <sheetData>
    <row r="1" ht="28" customHeight="1">
      <c r="A1" s="17" t="inlineStr">
        <is>
          <t>CHANGES FROM ORIGINAL  (camera-slider v1.0)</t>
        </is>
      </c>
    </row>
    <row r="3" ht="18" customHeight="1">
      <c r="A3" s="4" t="inlineStr">
        <is>
          <t>COMPONENTS REMOVED</t>
        </is>
      </c>
      <c r="B3" s="20" t="n"/>
      <c r="C3" s="21" t="n"/>
    </row>
    <row r="4" ht="28" customHeight="1">
      <c r="A4" s="18" t="inlineStr">
        <is>
          <t>SH1106 OLED module</t>
        </is>
      </c>
      <c r="B4" s="6" t="inlineStr">
        <is>
          <t>I2C display</t>
        </is>
      </c>
      <c r="C4" s="6" t="inlineStr">
        <is>
          <t>Replaced by Mini12864</t>
        </is>
      </c>
    </row>
    <row r="5" ht="28" customHeight="1">
      <c r="A5" s="19" t="inlineStr">
        <is>
          <t>External EC11 module</t>
        </is>
      </c>
      <c r="B5" s="10" t="inlineStr">
        <is>
          <t>Encoder + 2 buttons</t>
        </is>
      </c>
      <c r="C5" s="10" t="inlineStr">
        <is>
          <t>Built into Mini12864</t>
        </is>
      </c>
    </row>
    <row r="6" ht="28" customHeight="1">
      <c r="A6" s="18" t="inlineStr">
        <is>
          <t>Dedicated E-Stop button</t>
        </is>
      </c>
      <c r="B6" s="6" t="inlineStr">
        <is>
          <t>Panel button on A2</t>
        </is>
      </c>
      <c r="C6" s="6" t="inlineStr">
        <is>
          <t>Encoder long press</t>
        </is>
      </c>
    </row>
    <row r="7" ht="28" customHeight="1">
      <c r="A7" s="19" t="inlineStr">
        <is>
          <t>BTN_BACK button</t>
        </is>
      </c>
      <c r="B7" s="10" t="inlineStr">
        <is>
          <t>D5</t>
        </is>
      </c>
      <c r="C7" s="10" t="inlineStr">
        <is>
          <t>Now a menu item (&lt; Back)</t>
        </is>
      </c>
    </row>
    <row r="8" ht="28" customHeight="1">
      <c r="A8" s="18" t="inlineStr">
        <is>
          <t>BTN_CONF button</t>
        </is>
      </c>
      <c r="B8" s="6" t="inlineStr">
        <is>
          <t>D6</t>
        </is>
      </c>
      <c r="C8" s="6" t="inlineStr">
        <is>
          <t>Now PLAY/PAUSE button</t>
        </is>
      </c>
    </row>
    <row r="9" ht="28" customHeight="1">
      <c r="A9" s="19" t="inlineStr">
        <is>
          <t>EN_PIN wiring</t>
        </is>
      </c>
      <c r="B9" s="10" t="inlineStr">
        <is>
          <t>A2 → Arduino</t>
        </is>
      </c>
      <c r="C9" s="10" t="inlineStr">
        <is>
          <t>Tied directly to GND</t>
        </is>
      </c>
    </row>
    <row r="10" ht="28" customHeight="1">
      <c r="A10" s="18" t="inlineStr">
        <is>
          <t>Second endstop pin</t>
        </is>
      </c>
      <c r="B10" s="6" t="inlineStr">
        <is>
          <t>D13</t>
        </is>
      </c>
      <c r="C10" s="6" t="inlineStr">
        <is>
          <t>Both endstops on D12 in parallel</t>
        </is>
      </c>
    </row>
    <row r="11" ht="28" customHeight="1">
      <c r="A11" s="19" t="inlineStr">
        <is>
          <t>Wire.h library</t>
        </is>
      </c>
      <c r="B11" s="10" t="inlineStr">
        <is>
          <t>I2C no longer needed</t>
        </is>
      </c>
      <c r="C11" s="10" t="inlineStr">
        <is>
          <t>—</t>
        </is>
      </c>
    </row>
    <row r="12" ht="18" customHeight="1">
      <c r="A12" s="4" t="inlineStr">
        <is>
          <t>COMPONENTS ADDED</t>
        </is>
      </c>
      <c r="B12" s="20" t="n"/>
      <c r="C12" s="21" t="n"/>
    </row>
    <row r="13" ht="28" customHeight="1">
      <c r="A13" s="18" t="inlineStr">
        <is>
          <t>BTT Mini12864 V2.0</t>
        </is>
      </c>
      <c r="B13" s="6" t="inlineStr">
        <is>
          <t>SPI display + encoder + LEDs</t>
        </is>
      </c>
      <c r="C13" s="6" t="inlineStr">
        <is>
          <t>Replaces 2 components</t>
        </is>
      </c>
    </row>
    <row r="14" ht="28" customHeight="1">
      <c r="A14" s="19" t="inlineStr">
        <is>
          <t>Adafruit NeoPixel lib</t>
        </is>
      </c>
      <c r="B14" s="10" t="inlineStr">
        <is>
          <t>WS2812 backlight control</t>
        </is>
      </c>
      <c r="C14" s="10" t="inlineStr">
        <is>
          <t>Install via Library Manager</t>
        </is>
      </c>
    </row>
    <row r="15" ht="28" customHeight="1">
      <c r="A15" s="18" t="inlineStr">
        <is>
          <t>IDC ribbon cables ×2</t>
        </is>
      </c>
      <c r="B15" s="6" t="inlineStr">
        <is>
          <t>EXP1 + EXP2 to Arduino</t>
        </is>
      </c>
      <c r="C15" s="6" t="inlineStr">
        <is>
          <t>2×5 pin, 2.54mm pitch</t>
        </is>
      </c>
    </row>
    <row r="16" ht="28" customHeight="1">
      <c r="A16" s="19" t="inlineStr">
        <is>
          <t>PLAY/PAUSE button</t>
        </is>
      </c>
      <c r="B16" s="10" t="inlineStr">
        <is>
          <t>D6</t>
        </is>
      </c>
      <c r="C16" s="10" t="inlineStr">
        <is>
          <t>Start / pause / resume / cancel</t>
        </is>
      </c>
    </row>
    <row r="17" ht="18" customHeight="1">
      <c r="A17" s="4" t="inlineStr">
        <is>
          <t>PIN CHANGES</t>
        </is>
      </c>
      <c r="B17" s="20" t="n"/>
      <c r="C17" s="21" t="n"/>
    </row>
    <row r="18" ht="28" customHeight="1">
      <c r="A18" s="18" t="inlineStr">
        <is>
          <t>D5</t>
        </is>
      </c>
      <c r="B18" s="6" t="inlineStr">
        <is>
          <t>BTN_BACK → RIGHT jog</t>
        </is>
      </c>
      <c r="C18" s="6" t="inlineStr">
        <is>
          <t>Physical back button removed</t>
        </is>
      </c>
    </row>
    <row r="19" ht="28" customHeight="1">
      <c r="A19" s="19" t="inlineStr">
        <is>
          <t>D6</t>
        </is>
      </c>
      <c r="B19" s="10" t="inlineStr">
        <is>
          <t>BTN_CONF → PLAY/PAUSE</t>
        </is>
      </c>
      <c r="C19" s="10" t="inlineStr">
        <is>
          <t>Confirm now via encoder click</t>
        </is>
      </c>
    </row>
    <row r="20" ht="28" customHeight="1">
      <c r="A20" s="18" t="inlineStr">
        <is>
          <t>D11</t>
        </is>
      </c>
      <c r="B20" s="6" t="inlineStr">
        <is>
          <t>TMC2209 EN → LCD MOSI</t>
        </is>
      </c>
      <c r="C20" s="6" t="inlineStr">
        <is>
          <t>EN moved to GND permanently</t>
        </is>
      </c>
    </row>
    <row r="21" ht="28" customHeight="1">
      <c r="A21" s="19" t="inlineStr">
        <is>
          <t>D13</t>
        </is>
      </c>
      <c r="B21" s="10" t="inlineStr">
        <is>
          <t>Right endstop → SPI SCK</t>
        </is>
      </c>
      <c r="C21" s="10" t="inlineStr">
        <is>
          <t>Endstop moved to parallel on D12</t>
        </is>
      </c>
    </row>
    <row r="22" ht="28" customHeight="1">
      <c r="A22" s="18" t="inlineStr">
        <is>
          <t>A0</t>
        </is>
      </c>
      <c r="B22" s="6" t="inlineStr">
        <is>
          <t>E-Stop btn → LEFT jog</t>
        </is>
      </c>
      <c r="C22" s="6" t="inlineStr">
        <is>
          <t>E-Stop now encoder long press</t>
        </is>
      </c>
    </row>
    <row r="23" ht="28" customHeight="1">
      <c r="A23" s="19" t="inlineStr">
        <is>
          <t>A1</t>
        </is>
      </c>
      <c r="B23" s="10" t="inlineStr">
        <is>
          <t>LEFT jog → Free</t>
        </is>
      </c>
      <c r="C23" s="10" t="inlineStr">
        <is>
          <t>—</t>
        </is>
      </c>
    </row>
    <row r="24" ht="28" customHeight="1">
      <c r="A24" s="18" t="inlineStr">
        <is>
          <t>A2</t>
        </is>
      </c>
      <c r="B24" s="6" t="inlineStr">
        <is>
          <t>TMC2209 EN → Free</t>
        </is>
      </c>
      <c r="C24" s="6" t="inlineStr">
        <is>
          <t>EN tied to GND, no pin needed</t>
        </is>
      </c>
    </row>
    <row r="25" ht="28" customHeight="1">
      <c r="A25" s="19" t="inlineStr">
        <is>
          <t>A3</t>
        </is>
      </c>
      <c r="B25" s="10" t="inlineStr">
        <is>
          <t>Reserved → LCD A0/RS</t>
        </is>
      </c>
      <c r="C25" s="10" t="inlineStr">
        <is>
          <t>—</t>
        </is>
      </c>
    </row>
    <row r="26" ht="28" customHeight="1">
      <c r="A26" s="18" t="inlineStr">
        <is>
          <t>A4</t>
        </is>
      </c>
      <c r="B26" s="6" t="inlineStr">
        <is>
          <t>OLED SDA → NeoPixel</t>
        </is>
      </c>
      <c r="C26" s="6" t="inlineStr">
        <is>
          <t>—</t>
        </is>
      </c>
    </row>
    <row r="27" ht="28" customHeight="1">
      <c r="A27" s="19" t="inlineStr">
        <is>
          <t>A5</t>
        </is>
      </c>
      <c r="B27" s="10" t="inlineStr">
        <is>
          <t>OLED SCL → LCD CS</t>
        </is>
      </c>
      <c r="C27" s="10" t="inlineStr">
        <is>
          <t>—</t>
        </is>
      </c>
    </row>
  </sheetData>
  <mergeCells count="4">
    <mergeCell ref="A1:C1"/>
    <mergeCell ref="A3:C3"/>
    <mergeCell ref="A12:C12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2026-04-05T15:15:23Z</dcterms:created>
  <dcterms:modified xmlns:dcterms="http://purl.org/dc/terms/" xmlns:xsi="http://www.w3.org/2001/XMLSchema-instance" xsi:type="dcterms:W3CDTF">2026-04-06T00:06:09Z</dcterms:modified>
</cp:coreProperties>
</file>