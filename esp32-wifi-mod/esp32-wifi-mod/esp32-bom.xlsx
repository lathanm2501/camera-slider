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0f346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/>
    </xf>
    <xf numFmtId="164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18" customWidth="1" min="4" max="4"/>
    <col width="5" customWidth="1" min="5" max="5"/>
    <col width="7" customWidth="1" min="6" max="6"/>
    <col width="14" customWidth="1" min="7" max="7"/>
    <col width="14" customWidth="1" min="8" max="8"/>
    <col width="28" customWidth="1" min="9" max="9"/>
    <col width="36" customWidth="1" min="10" max="10"/>
  </cols>
  <sheetData>
    <row r="1" ht="30" customHeight="1">
      <c r="A1" s="1" t="inlineStr">
        <is>
          <t>CAMERA SLIDER  —  ESP32 WiFi Mod  —  Bill of Materials</t>
        </is>
      </c>
    </row>
    <row r="2" ht="16" customHeight="1">
      <c r="A2" s="2" t="inlineStr">
        <is>
          <t>Firmware v1.0-ESP32  |  ESP32 DevKit + TMC2209 + BTT Mini12864 + WiFi</t>
        </is>
      </c>
    </row>
    <row r="3" ht="6" customHeight="1"/>
    <row r="4" ht="24" customHeight="1">
      <c r="A4" s="3" t="inlineStr">
        <is>
          <t>#</t>
        </is>
      </c>
      <c r="B4" s="3" t="inlineStr">
        <is>
          <t>Ref</t>
        </is>
      </c>
      <c r="C4" s="3" t="inlineStr">
        <is>
          <t>Description</t>
        </is>
      </c>
      <c r="D4" s="3" t="inlineStr">
        <is>
          <t>Package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Est Unit(USD)</t>
        </is>
      </c>
      <c r="H4" s="3" t="inlineStr">
        <is>
          <t>Est Total(USD)</t>
        </is>
      </c>
      <c r="I4" s="3" t="inlineStr">
        <is>
          <t>Supplier / Search Term</t>
        </is>
      </c>
      <c r="J4" s="3" t="inlineStr">
        <is>
          <t>Notes</t>
        </is>
      </c>
    </row>
    <row r="5" ht="18" customHeight="1">
      <c r="A5" s="4" t="inlineStr">
        <is>
          <t>MICROCONTROLLER &amp; WIFI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8" t="n"/>
    </row>
    <row r="6" ht="36" customHeight="1">
      <c r="A6" s="5" t="n">
        <v>1</v>
      </c>
      <c r="B6" s="6" t="inlineStr">
        <is>
          <t>ESP32 DevKit v1  (38-pin)</t>
        </is>
      </c>
      <c r="C6" s="6" t="inlineStr">
        <is>
          <t>ESP32 module</t>
        </is>
      </c>
      <c r="D6" s="6" t="n">
        <v>1</v>
      </c>
      <c r="E6" s="5" t="inlineStr">
        <is>
          <t>ea</t>
        </is>
      </c>
      <c r="F6" s="5" t="n">
        <v>4</v>
      </c>
      <c r="G6" s="7" t="inlineStr">
        <is>
          <t>AliExpress: 'ESP32 DevKit v1 38pin'</t>
        </is>
      </c>
      <c r="H6" s="8">
        <f>E6*G6</f>
        <v/>
      </c>
      <c r="I6" s="6" t="inlineStr">
        <is>
          <t>Dual-core 240MHz, 520KB RAM, built-in WiFi/BT. Ensure 38-pin variant.</t>
        </is>
      </c>
      <c r="J6" s="6" t="inlineStr"/>
    </row>
    <row r="7" ht="18" customHeight="1">
      <c r="A7" s="4" t="inlineStr">
        <is>
          <t>DISPLAY &amp; ENCODER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8" t="n"/>
    </row>
    <row r="8" ht="36" customHeight="1">
      <c r="A8" s="9" t="n">
        <v>2</v>
      </c>
      <c r="B8" s="10" t="inlineStr">
        <is>
          <t>BTT Mini12864 V2.0</t>
        </is>
      </c>
      <c r="C8" s="10" t="inlineStr">
        <is>
          <t>Integrated LCD+encoder</t>
        </is>
      </c>
      <c r="D8" s="10" t="n">
        <v>1</v>
      </c>
      <c r="E8" s="9" t="inlineStr">
        <is>
          <t>ea</t>
        </is>
      </c>
      <c r="F8" s="9" t="n">
        <v>8</v>
      </c>
      <c r="G8" s="11" t="inlineStr">
        <is>
          <t>AliExpress: 'BTT Mini12864 V2.0'</t>
        </is>
      </c>
      <c r="H8" s="12">
        <f>E8*G8</f>
        <v/>
      </c>
      <c r="I8" s="10" t="inlineStr">
        <is>
          <t>UC1701 display, EC11 encoder, 2x WS2812, EXP1+EXP2.</t>
        </is>
      </c>
      <c r="J8" s="10" t="inlineStr"/>
    </row>
    <row r="9" ht="18" customHeight="1">
      <c r="A9" s="4" t="inlineStr">
        <is>
          <t>STEPPER MOTOR SYSTEM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 ht="36" customHeight="1">
      <c r="A10" s="5" t="n">
        <v>3</v>
      </c>
      <c r="B10" s="6" t="inlineStr">
        <is>
          <t>TMC2209 Stepper Driver</t>
        </is>
      </c>
      <c r="C10" s="6" t="inlineStr">
        <is>
          <t>Breakout module</t>
        </is>
      </c>
      <c r="D10" s="6" t="n">
        <v>1</v>
      </c>
      <c r="E10" s="5" t="inlineStr">
        <is>
          <t>ea</t>
        </is>
      </c>
      <c r="F10" s="5" t="n">
        <v>3.5</v>
      </c>
      <c r="G10" s="7" t="inlineStr">
        <is>
          <t>AliExpress: 'TMC2209 stepper driver'</t>
        </is>
      </c>
      <c r="H10" s="8">
        <f>E10*G10</f>
        <v/>
      </c>
      <c r="I10" s="6" t="inlineStr">
        <is>
          <t>EN tied to GND in this design.</t>
        </is>
      </c>
      <c r="J10" s="6" t="inlineStr"/>
    </row>
    <row r="11" ht="36" customHeight="1">
      <c r="A11" s="9" t="n">
        <v>4</v>
      </c>
      <c r="B11" s="10" t="inlineStr">
        <is>
          <t>NEMA 17 Stepper Motor</t>
        </is>
      </c>
      <c r="C11" s="10" t="inlineStr">
        <is>
          <t>NEMA 17</t>
        </is>
      </c>
      <c r="D11" s="10" t="n">
        <v>1</v>
      </c>
      <c r="E11" s="9" t="inlineStr">
        <is>
          <t>ea</t>
        </is>
      </c>
      <c r="F11" s="9" t="n">
        <v>8</v>
      </c>
      <c r="G11" s="11" t="inlineStr">
        <is>
          <t>AliExpress: 'NEMA 17 stepper 40mm'</t>
        </is>
      </c>
      <c r="H11" s="12">
        <f>E11*G11</f>
        <v/>
      </c>
      <c r="I11" s="10" t="inlineStr">
        <is>
          <t>17HS4401 or similar.</t>
        </is>
      </c>
      <c r="J11" s="10" t="inlineStr"/>
    </row>
    <row r="12" ht="18" customHeight="1">
      <c r="A12" s="4" t="inlineStr">
        <is>
          <t>ENDSTOPS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8" t="n"/>
    </row>
    <row r="13" ht="36" customHeight="1">
      <c r="A13" s="5" t="n">
        <v>5</v>
      </c>
      <c r="B13" s="6" t="inlineStr">
        <is>
          <t>Mechanical Endstop (NC)</t>
        </is>
      </c>
      <c r="C13" s="6" t="inlineStr">
        <is>
          <t>Micro switch NC</t>
        </is>
      </c>
      <c r="D13" s="6" t="n">
        <v>2</v>
      </c>
      <c r="E13" s="5" t="inlineStr">
        <is>
          <t>ea</t>
        </is>
      </c>
      <c r="F13" s="5" t="n">
        <v>0.4</v>
      </c>
      <c r="G13" s="7" t="inlineStr">
        <is>
          <t>AliExpress: 'KW10 micro switch NC'</t>
        </is>
      </c>
      <c r="H13" s="8">
        <f>E13*G13</f>
        <v/>
      </c>
      <c r="I13" s="6" t="inlineStr">
        <is>
          <t>Two separate pins (GPIO36, GPIO39) — NOT shared in this fork.</t>
        </is>
      </c>
      <c r="J13" s="6" t="inlineStr"/>
    </row>
    <row r="14" ht="18" customHeight="1">
      <c r="A14" s="4" t="inlineStr">
        <is>
          <t>EXTERNAL BUTTONS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8" t="n"/>
    </row>
    <row r="15" ht="36" customHeight="1">
      <c r="A15" s="9" t="n">
        <v>6</v>
      </c>
      <c r="B15" s="10" t="inlineStr">
        <is>
          <t>LEFT Jog Button</t>
        </is>
      </c>
      <c r="C15" s="10" t="inlineStr">
        <is>
          <t>Panel mount momentary</t>
        </is>
      </c>
      <c r="D15" s="10" t="n">
        <v>1</v>
      </c>
      <c r="E15" s="9" t="inlineStr">
        <is>
          <t>ea</t>
        </is>
      </c>
      <c r="F15" s="9" t="n">
        <v>0.4</v>
      </c>
      <c r="G15" s="11" t="inlineStr">
        <is>
          <t>AliExpress: '12mm momentary button'</t>
        </is>
      </c>
      <c r="H15" s="12">
        <f>E15*G15</f>
        <v/>
      </c>
      <c r="I15" s="10" t="inlineStr">
        <is>
          <t>GPIO27. Short=step, hold=fast jog.</t>
        </is>
      </c>
      <c r="J15" s="10" t="inlineStr"/>
    </row>
    <row r="16" ht="36" customHeight="1">
      <c r="A16" s="5" t="n">
        <v>7</v>
      </c>
      <c r="B16" s="6" t="inlineStr">
        <is>
          <t>RIGHT Jog Button</t>
        </is>
      </c>
      <c r="C16" s="6" t="inlineStr">
        <is>
          <t>Panel mount momentary</t>
        </is>
      </c>
      <c r="D16" s="6" t="n">
        <v>1</v>
      </c>
      <c r="E16" s="5" t="inlineStr">
        <is>
          <t>ea</t>
        </is>
      </c>
      <c r="F16" s="5" t="n">
        <v>0.4</v>
      </c>
      <c r="G16" s="7" t="inlineStr">
        <is>
          <t>AliExpress: '12mm momentary button'</t>
        </is>
      </c>
      <c r="H16" s="8">
        <f>E16*G16</f>
        <v/>
      </c>
      <c r="I16" s="6" t="inlineStr">
        <is>
          <t>GPIO14.</t>
        </is>
      </c>
      <c r="J16" s="6" t="inlineStr"/>
    </row>
    <row r="17" ht="36" customHeight="1">
      <c r="A17" s="9" t="n">
        <v>8</v>
      </c>
      <c r="B17" s="10" t="inlineStr">
        <is>
          <t>PLAY/PAUSE Button</t>
        </is>
      </c>
      <c r="C17" s="10" t="inlineStr">
        <is>
          <t>Panel mount momentary</t>
        </is>
      </c>
      <c r="D17" s="10" t="n">
        <v>1</v>
      </c>
      <c r="E17" s="9" t="inlineStr">
        <is>
          <t>ea</t>
        </is>
      </c>
      <c r="F17" s="9" t="n">
        <v>0.5</v>
      </c>
      <c r="G17" s="11" t="inlineStr">
        <is>
          <t>AliExpress: '16mm momentary button'</t>
        </is>
      </c>
      <c r="H17" s="12">
        <f>E17*G17</f>
        <v/>
      </c>
      <c r="I17" s="10" t="inlineStr">
        <is>
          <t>GPIO12. Distinct colour recommended.</t>
        </is>
      </c>
      <c r="J17" s="10" t="inlineStr"/>
    </row>
    <row r="18" ht="18" customHeight="1">
      <c r="A18" s="4" t="inlineStr">
        <is>
          <t>PASSIVE COMPONENTS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8" t="n"/>
    </row>
    <row r="19" ht="36" customHeight="1">
      <c r="A19" s="5" t="n">
        <v>9</v>
      </c>
      <c r="B19" s="6" t="inlineStr">
        <is>
          <t>10kΩ Resistor — ENC_CLK pullup</t>
        </is>
      </c>
      <c r="C19" s="6" t="inlineStr">
        <is>
          <t>1/4W through-hole</t>
        </is>
      </c>
      <c r="D19" s="6" t="n">
        <v>1</v>
      </c>
      <c r="E19" s="5" t="inlineStr">
        <is>
          <t>ea</t>
        </is>
      </c>
      <c r="F19" s="5" t="n">
        <v>0.02</v>
      </c>
      <c r="G19" s="7" t="inlineStr">
        <is>
          <t>Any supplier</t>
        </is>
      </c>
      <c r="H19" s="8">
        <f>E19*G19</f>
        <v/>
      </c>
      <c r="I19" s="6" t="inlineStr">
        <is>
          <t>GPIO34 pullup to 3.3V. Required — input-only pin has no internal pullup.</t>
        </is>
      </c>
      <c r="J19" s="6" t="inlineStr"/>
    </row>
    <row r="20" ht="36" customHeight="1">
      <c r="A20" s="9" t="n">
        <v>10</v>
      </c>
      <c r="B20" s="10" t="inlineStr">
        <is>
          <t>10kΩ Resistor — ENC_DT pullup</t>
        </is>
      </c>
      <c r="C20" s="10" t="inlineStr">
        <is>
          <t>1/4W through-hole</t>
        </is>
      </c>
      <c r="D20" s="10" t="n">
        <v>1</v>
      </c>
      <c r="E20" s="9" t="inlineStr">
        <is>
          <t>ea</t>
        </is>
      </c>
      <c r="F20" s="9" t="n">
        <v>0.02</v>
      </c>
      <c r="G20" s="11" t="inlineStr">
        <is>
          <t>Any supplier</t>
        </is>
      </c>
      <c r="H20" s="12">
        <f>E20*G20</f>
        <v/>
      </c>
      <c r="I20" s="10" t="inlineStr">
        <is>
          <t>GPIO35 pullup to 3.3V.</t>
        </is>
      </c>
      <c r="J20" s="10" t="inlineStr"/>
    </row>
    <row r="21" ht="36" customHeight="1">
      <c r="A21" s="5" t="n">
        <v>11</v>
      </c>
      <c r="B21" s="6" t="inlineStr">
        <is>
          <t>10kΩ Resistor — Left endstop pullup</t>
        </is>
      </c>
      <c r="C21" s="6" t="inlineStr">
        <is>
          <t>1/4W through-hole</t>
        </is>
      </c>
      <c r="D21" s="6" t="n">
        <v>1</v>
      </c>
      <c r="E21" s="5" t="inlineStr">
        <is>
          <t>ea</t>
        </is>
      </c>
      <c r="F21" s="5" t="n">
        <v>0.02</v>
      </c>
      <c r="G21" s="7" t="inlineStr">
        <is>
          <t>Any supplier</t>
        </is>
      </c>
      <c r="H21" s="8">
        <f>E21*G21</f>
        <v/>
      </c>
      <c r="I21" s="6" t="inlineStr">
        <is>
          <t>GPIO36 pullup to 3.3V.</t>
        </is>
      </c>
      <c r="J21" s="6" t="inlineStr"/>
    </row>
    <row r="22" ht="36" customHeight="1">
      <c r="A22" s="9" t="n">
        <v>12</v>
      </c>
      <c r="B22" s="10" t="inlineStr">
        <is>
          <t>10kΩ Resistor — Right endstop pullup</t>
        </is>
      </c>
      <c r="C22" s="10" t="inlineStr">
        <is>
          <t>1/4W through-hole</t>
        </is>
      </c>
      <c r="D22" s="10" t="n">
        <v>1</v>
      </c>
      <c r="E22" s="9" t="inlineStr">
        <is>
          <t>ea</t>
        </is>
      </c>
      <c r="F22" s="9" t="n">
        <v>0.02</v>
      </c>
      <c r="G22" s="11" t="inlineStr">
        <is>
          <t>Any supplier</t>
        </is>
      </c>
      <c r="H22" s="12">
        <f>E22*G22</f>
        <v/>
      </c>
      <c r="I22" s="10" t="inlineStr">
        <is>
          <t>GPIO39 pullup to 3.3V.</t>
        </is>
      </c>
      <c r="J22" s="10" t="inlineStr"/>
    </row>
    <row r="23" ht="36" customHeight="1">
      <c r="A23" s="5" t="n">
        <v>13</v>
      </c>
      <c r="B23" s="6" t="inlineStr">
        <is>
          <t>220Ω Resistor — Power LED</t>
        </is>
      </c>
      <c r="C23" s="6" t="inlineStr">
        <is>
          <t>1/4W through-hole</t>
        </is>
      </c>
      <c r="D23" s="6" t="n">
        <v>1</v>
      </c>
      <c r="E23" s="5" t="inlineStr">
        <is>
          <t>ea</t>
        </is>
      </c>
      <c r="F23" s="5" t="n">
        <v>0.02</v>
      </c>
      <c r="G23" s="7" t="inlineStr">
        <is>
          <t>Any supplier</t>
        </is>
      </c>
      <c r="H23" s="8">
        <f>E23*G23</f>
        <v/>
      </c>
      <c r="I23" s="6" t="inlineStr">
        <is>
          <t>Current limit for indicator LED.</t>
        </is>
      </c>
      <c r="J23" s="6" t="inlineStr"/>
    </row>
    <row r="24" ht="36" customHeight="1">
      <c r="A24" s="9" t="n">
        <v>14</v>
      </c>
      <c r="B24" s="10" t="inlineStr">
        <is>
          <t>LED — Power indicator</t>
        </is>
      </c>
      <c r="C24" s="10" t="inlineStr">
        <is>
          <t>5mm green</t>
        </is>
      </c>
      <c r="D24" s="10" t="n">
        <v>1</v>
      </c>
      <c r="E24" s="9" t="inlineStr">
        <is>
          <t>ea</t>
        </is>
      </c>
      <c r="F24" s="9" t="n">
        <v>0.05</v>
      </c>
      <c r="G24" s="11" t="inlineStr">
        <is>
          <t>AliExpress: '5mm green LED'</t>
        </is>
      </c>
      <c r="H24" s="12">
        <f>E24*G24</f>
        <v/>
      </c>
      <c r="I24" s="10" t="inlineStr"/>
      <c r="J24" s="10" t="inlineStr"/>
    </row>
    <row r="25" ht="36" customHeight="1">
      <c r="A25" s="5" t="n">
        <v>15</v>
      </c>
      <c r="B25" s="6" t="inlineStr">
        <is>
          <t>100nF ceramic capacitor</t>
        </is>
      </c>
      <c r="C25" s="6" t="inlineStr">
        <is>
          <t>Through-hole</t>
        </is>
      </c>
      <c r="D25" s="6" t="n">
        <v>3</v>
      </c>
      <c r="E25" s="5" t="inlineStr">
        <is>
          <t>ea</t>
        </is>
      </c>
      <c r="F25" s="5" t="n">
        <v>0.03</v>
      </c>
      <c r="G25" s="7" t="inlineStr">
        <is>
          <t>AliExpress: '100nF ceramic'</t>
        </is>
      </c>
      <c r="H25" s="8">
        <f>E25*G25</f>
        <v/>
      </c>
      <c r="I25" s="6" t="inlineStr">
        <is>
          <t>Decoupling near ESP32 3.3V, TMC2209 VIO, IR VCC.</t>
        </is>
      </c>
      <c r="J25" s="6" t="inlineStr"/>
    </row>
    <row r="26" ht="36" customHeight="1">
      <c r="A26" s="9" t="n">
        <v>16</v>
      </c>
      <c r="B26" s="10" t="inlineStr">
        <is>
          <t>100µF 25V electrolytic</t>
        </is>
      </c>
      <c r="C26" s="10" t="inlineStr">
        <is>
          <t>Through-hole</t>
        </is>
      </c>
      <c r="D26" s="10" t="n">
        <v>1</v>
      </c>
      <c r="E26" s="9" t="inlineStr">
        <is>
          <t>ea</t>
        </is>
      </c>
      <c r="F26" s="9" t="n">
        <v>0.1</v>
      </c>
      <c r="G26" s="11" t="inlineStr">
        <is>
          <t>AliExpress: '100uF 25V electrolytic'</t>
        </is>
      </c>
      <c r="H26" s="12">
        <f>E26*G26</f>
        <v/>
      </c>
      <c r="I26" s="10" t="inlineStr">
        <is>
          <t>Bulk decoupling across motor PSU input.</t>
        </is>
      </c>
      <c r="J26" s="10" t="inlineStr"/>
    </row>
    <row r="27" ht="18" customHeight="1">
      <c r="A27" s="4" t="inlineStr">
        <is>
          <t>CONNECTORS &amp; HEADERS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8" t="n"/>
    </row>
    <row r="28" ht="36" customHeight="1">
      <c r="A28" s="5" t="n">
        <v>17</v>
      </c>
      <c r="B28" s="6" t="inlineStr">
        <is>
          <t>IDC 10-pin cable — EXP1</t>
        </is>
      </c>
      <c r="C28" s="6" t="inlineStr">
        <is>
          <t>2×5 IDC 2.54mm</t>
        </is>
      </c>
      <c r="D28" s="6" t="n">
        <v>1</v>
      </c>
      <c r="E28" s="5" t="inlineStr">
        <is>
          <t>ea</t>
        </is>
      </c>
      <c r="F28" s="5" t="n">
        <v>0.5</v>
      </c>
      <c r="G28" s="7" t="inlineStr">
        <is>
          <t>AliExpress: '10pin IDC ribbon 2.54mm'</t>
        </is>
      </c>
      <c r="H28" s="8">
        <f>E28*G28</f>
        <v/>
      </c>
      <c r="I28" s="6" t="inlineStr">
        <is>
          <t>Mini12864 EXP1 to ESP32.</t>
        </is>
      </c>
      <c r="J28" s="6" t="inlineStr"/>
    </row>
    <row r="29" ht="36" customHeight="1">
      <c r="A29" s="9" t="n">
        <v>18</v>
      </c>
      <c r="B29" s="10" t="inlineStr">
        <is>
          <t>IDC 10-pin cable — EXP2</t>
        </is>
      </c>
      <c r="C29" s="10" t="inlineStr">
        <is>
          <t>2×5 IDC 2.54mm</t>
        </is>
      </c>
      <c r="D29" s="10" t="n">
        <v>1</v>
      </c>
      <c r="E29" s="9" t="inlineStr">
        <is>
          <t>ea</t>
        </is>
      </c>
      <c r="F29" s="9" t="n">
        <v>0.5</v>
      </c>
      <c r="G29" s="11" t="inlineStr">
        <is>
          <t>AliExpress: '10pin IDC ribbon 2.54mm'</t>
        </is>
      </c>
      <c r="H29" s="12">
        <f>E29*G29</f>
        <v/>
      </c>
      <c r="I29" s="10" t="inlineStr">
        <is>
          <t>Mini12864 EXP2 to ESP32.</t>
        </is>
      </c>
      <c r="J29" s="10" t="inlineStr"/>
    </row>
    <row r="30" ht="36" customHeight="1">
      <c r="A30" s="5" t="n">
        <v>19</v>
      </c>
      <c r="B30" s="6" t="inlineStr">
        <is>
          <t>4-pin screw terminal — Motor</t>
        </is>
      </c>
      <c r="C30" s="6" t="inlineStr">
        <is>
          <t>5.08mm pitch</t>
        </is>
      </c>
      <c r="D30" s="6" t="n">
        <v>1</v>
      </c>
      <c r="E30" s="5" t="inlineStr">
        <is>
          <t>ea</t>
        </is>
      </c>
      <c r="F30" s="5" t="n">
        <v>0.25</v>
      </c>
      <c r="G30" s="7" t="inlineStr">
        <is>
          <t>AliExpress: '5.08mm 4pin screw terminal'</t>
        </is>
      </c>
      <c r="H30" s="8">
        <f>E30*G30</f>
        <v/>
      </c>
      <c r="I30" s="6" t="inlineStr">
        <is>
          <t>Motor coil wires.</t>
        </is>
      </c>
      <c r="J30" s="6" t="inlineStr"/>
    </row>
    <row r="31" ht="36" customHeight="1">
      <c r="A31" s="9" t="n">
        <v>20</v>
      </c>
      <c r="B31" s="10" t="inlineStr">
        <is>
          <t>2-pin screw terminal — Left endstop</t>
        </is>
      </c>
      <c r="C31" s="10" t="inlineStr">
        <is>
          <t>5.08mm pitch</t>
        </is>
      </c>
      <c r="D31" s="10" t="n">
        <v>1</v>
      </c>
      <c r="E31" s="9" t="inlineStr">
        <is>
          <t>ea</t>
        </is>
      </c>
      <c r="F31" s="9" t="n">
        <v>0.15</v>
      </c>
      <c r="G31" s="11" t="inlineStr">
        <is>
          <t>AliExpress: '5.08mm 2pin screw terminal'</t>
        </is>
      </c>
      <c r="H31" s="12">
        <f>E31*G31</f>
        <v/>
      </c>
      <c r="I31" s="10" t="inlineStr"/>
      <c r="J31" s="10" t="inlineStr"/>
    </row>
    <row r="32" ht="36" customHeight="1">
      <c r="A32" s="5" t="n">
        <v>21</v>
      </c>
      <c r="B32" s="6" t="inlineStr">
        <is>
          <t>2-pin screw terminal — Right endstop</t>
        </is>
      </c>
      <c r="C32" s="6" t="inlineStr">
        <is>
          <t>5.08mm pitch</t>
        </is>
      </c>
      <c r="D32" s="6" t="n">
        <v>1</v>
      </c>
      <c r="E32" s="5" t="inlineStr">
        <is>
          <t>ea</t>
        </is>
      </c>
      <c r="F32" s="5" t="n">
        <v>0.15</v>
      </c>
      <c r="G32" s="7" t="inlineStr">
        <is>
          <t>AliExpress: '5.08mm 2pin screw terminal'</t>
        </is>
      </c>
      <c r="H32" s="8">
        <f>E32*G32</f>
        <v/>
      </c>
      <c r="I32" s="6" t="inlineStr">
        <is>
          <t>Separate from left — two pins in this fork.</t>
        </is>
      </c>
      <c r="J32" s="6" t="inlineStr"/>
    </row>
    <row r="33" ht="36" customHeight="1">
      <c r="A33" s="9" t="n">
        <v>22</v>
      </c>
      <c r="B33" s="10" t="inlineStr">
        <is>
          <t>2-pin screw terminal — PSU</t>
        </is>
      </c>
      <c r="C33" s="10" t="inlineStr">
        <is>
          <t>5.08mm pitch</t>
        </is>
      </c>
      <c r="D33" s="10" t="n">
        <v>1</v>
      </c>
      <c r="E33" s="9" t="inlineStr">
        <is>
          <t>ea</t>
        </is>
      </c>
      <c r="F33" s="9" t="n">
        <v>0.15</v>
      </c>
      <c r="G33" s="11" t="inlineStr">
        <is>
          <t>AliExpress: '5.08mm 2pin screw terminal'</t>
        </is>
      </c>
      <c r="H33" s="12">
        <f>E33*G33</f>
        <v/>
      </c>
      <c r="I33" s="10" t="inlineStr">
        <is>
          <t>12-24V motor supply.</t>
        </is>
      </c>
      <c r="J33" s="10" t="inlineStr"/>
    </row>
    <row r="34" ht="36" customHeight="1">
      <c r="A34" s="5" t="n">
        <v>23</v>
      </c>
      <c r="B34" s="6" t="inlineStr">
        <is>
          <t>DC barrel jack</t>
        </is>
      </c>
      <c r="C34" s="6" t="inlineStr">
        <is>
          <t>PCB 5.5/2.1mm</t>
        </is>
      </c>
      <c r="D34" s="6" t="n">
        <v>1</v>
      </c>
      <c r="E34" s="5" t="inlineStr">
        <is>
          <t>ea</t>
        </is>
      </c>
      <c r="F34" s="5" t="n">
        <v>0.3</v>
      </c>
      <c r="G34" s="7" t="inlineStr">
        <is>
          <t>AliExpress: 'DC barrel jack PCB 5.5mm'</t>
        </is>
      </c>
      <c r="H34" s="8">
        <f>E34*G34</f>
        <v/>
      </c>
      <c r="I34" s="6" t="inlineStr"/>
      <c r="J34" s="6" t="inlineStr"/>
    </row>
    <row r="35" ht="36" customHeight="1">
      <c r="A35" s="9" t="n">
        <v>24</v>
      </c>
      <c r="B35" s="10" t="inlineStr">
        <is>
          <t>Pin header — ESP32 socket</t>
        </is>
      </c>
      <c r="C35" s="10" t="inlineStr">
        <is>
          <t>2.54mm female strip</t>
        </is>
      </c>
      <c r="D35" s="10" t="n">
        <v>1</v>
      </c>
      <c r="E35" s="9" t="inlineStr">
        <is>
          <t>set</t>
        </is>
      </c>
      <c r="F35" s="9" t="n">
        <v>0.8</v>
      </c>
      <c r="G35" s="11" t="inlineStr">
        <is>
          <t>AliExpress: '2.54mm female pin header'</t>
        </is>
      </c>
      <c r="H35" s="12">
        <f>E35*G35</f>
        <v/>
      </c>
      <c r="I35" s="10" t="inlineStr">
        <is>
          <t>Socket ESP32 for removal/reflash.</t>
        </is>
      </c>
      <c r="J35" s="10" t="inlineStr"/>
    </row>
    <row r="36" ht="36" customHeight="1">
      <c r="A36" s="5" t="n">
        <v>25</v>
      </c>
      <c r="B36" s="6" t="inlineStr">
        <is>
          <t>Pin header — TMC2209 socket</t>
        </is>
      </c>
      <c r="C36" s="6" t="inlineStr">
        <is>
          <t>2.54mm female strip</t>
        </is>
      </c>
      <c r="D36" s="6" t="n">
        <v>1</v>
      </c>
      <c r="E36" s="5" t="inlineStr">
        <is>
          <t>set</t>
        </is>
      </c>
      <c r="F36" s="5" t="n">
        <v>0.3</v>
      </c>
      <c r="G36" s="7" t="inlineStr">
        <is>
          <t>AliExpress: '2.54mm female pin header'</t>
        </is>
      </c>
      <c r="H36" s="8">
        <f>E36*G36</f>
        <v/>
      </c>
      <c r="I36" s="6" t="inlineStr"/>
      <c r="J36" s="6" t="inlineStr"/>
    </row>
    <row r="37" ht="36" customHeight="1">
      <c r="A37" s="9" t="n">
        <v>26</v>
      </c>
      <c r="B37" s="10" t="inlineStr">
        <is>
          <t>Screw terminals — buttons (×3)</t>
        </is>
      </c>
      <c r="C37" s="10" t="inlineStr">
        <is>
          <t>2.54mm 2-pin</t>
        </is>
      </c>
      <c r="D37" s="10" t="n">
        <v>3</v>
      </c>
      <c r="E37" s="9" t="inlineStr">
        <is>
          <t>ea</t>
        </is>
      </c>
      <c r="F37" s="9" t="n">
        <v>0.1</v>
      </c>
      <c r="G37" s="11" t="inlineStr">
        <is>
          <t>AliExpress: '2.54mm 2pin screw terminal'</t>
        </is>
      </c>
      <c r="H37" s="12">
        <f>E37*G37</f>
        <v/>
      </c>
      <c r="I37" s="10" t="inlineStr">
        <is>
          <t>One per button.</t>
        </is>
      </c>
      <c r="J37" s="10" t="inlineStr"/>
    </row>
    <row r="38" ht="18" customHeight="1">
      <c r="A38" s="4" t="inlineStr">
        <is>
          <t>PCB &amp; MECHANICAL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8" t="n"/>
    </row>
    <row r="39" ht="36" customHeight="1">
      <c r="A39" s="5" t="n">
        <v>27</v>
      </c>
      <c r="B39" s="6" t="inlineStr">
        <is>
          <t>Custom PCB</t>
        </is>
      </c>
      <c r="C39" s="6" t="inlineStr">
        <is>
          <t>EasyEDA → JLCPCB</t>
        </is>
      </c>
      <c r="D39" s="6" t="n">
        <v>5</v>
      </c>
      <c r="E39" s="5" t="inlineStr">
        <is>
          <t>ea</t>
        </is>
      </c>
      <c r="F39" s="5" t="n">
        <v>1</v>
      </c>
      <c r="G39" s="7" t="inlineStr">
        <is>
          <t>jlcpcb.com</t>
        </is>
      </c>
      <c r="H39" s="8">
        <f>E39*G39</f>
        <v/>
      </c>
      <c r="I39" s="6" t="inlineStr">
        <is>
          <t>Min 5 boards. Note: pullup resistor footprints needed for GPIO34/35/36/39.</t>
        </is>
      </c>
      <c r="J39" s="6" t="inlineStr"/>
    </row>
    <row r="40" ht="36" customHeight="1">
      <c r="A40" s="9" t="n">
        <v>28</v>
      </c>
      <c r="B40" s="10" t="inlineStr">
        <is>
          <t>M3 standoffs + screws</t>
        </is>
      </c>
      <c r="C40" s="10" t="inlineStr">
        <is>
          <t>M3×10mm brass</t>
        </is>
      </c>
      <c r="D40" s="10" t="n">
        <v>4</v>
      </c>
      <c r="E40" s="9" t="inlineStr">
        <is>
          <t>set</t>
        </is>
      </c>
      <c r="F40" s="9" t="n">
        <v>0.1</v>
      </c>
      <c r="G40" s="11" t="inlineStr">
        <is>
          <t>AliExpress: 'M3 brass standoff 10mm'</t>
        </is>
      </c>
      <c r="H40" s="12">
        <f>E40*G40</f>
        <v/>
      </c>
      <c r="I40" s="10" t="inlineStr"/>
      <c r="J40" s="10" t="inlineStr"/>
    </row>
    <row r="41" ht="36" customHeight="1">
      <c r="A41" s="5" t="n">
        <v>29</v>
      </c>
      <c r="B41" s="6" t="inlineStr">
        <is>
          <t>Project enclosure</t>
        </is>
      </c>
      <c r="C41" s="6" t="inlineStr">
        <is>
          <t>ABS/aluminium</t>
        </is>
      </c>
      <c r="D41" s="6" t="n">
        <v>1</v>
      </c>
      <c r="E41" s="5" t="inlineStr">
        <is>
          <t>ea</t>
        </is>
      </c>
      <c r="F41" s="5" t="n">
        <v>5</v>
      </c>
      <c r="G41" s="7" t="inlineStr">
        <is>
          <t>AliExpress: 'ABS enclosure 150x100mm'</t>
        </is>
      </c>
      <c r="H41" s="8">
        <f>E41*G41</f>
        <v/>
      </c>
      <c r="I41" s="6" t="inlineStr">
        <is>
          <t>Slightly larger than Uno version to fit ESP32 form factor.</t>
        </is>
      </c>
      <c r="J41" s="6" t="inlineStr"/>
    </row>
    <row r="42" ht="6" customHeight="1"/>
    <row r="43" ht="18" customHeight="1">
      <c r="A43" s="19" t="inlineStr">
        <is>
          <t>HANDHELD CABLE &amp; CONNECTORS</t>
        </is>
      </c>
      <c r="B43" s="17" t="n"/>
      <c r="C43" s="17" t="n"/>
      <c r="D43" s="17" t="n"/>
      <c r="E43" s="17" t="n"/>
      <c r="F43" s="17" t="n"/>
      <c r="G43" s="18" t="n"/>
      <c r="H43" s="17" t="n"/>
      <c r="I43" s="17" t="n"/>
      <c r="J43" s="18" t="n"/>
    </row>
    <row r="44" ht="36" customHeight="1">
      <c r="A44" s="9" t="n">
        <v>30</v>
      </c>
      <c r="B44" s="10" t="inlineStr">
        <is>
          <t>W1</t>
        </is>
      </c>
      <c r="C44" s="10" t="inlineStr">
        <is>
          <t>16-conductor ribbon cable 28AWG</t>
        </is>
      </c>
      <c r="D44" s="10" t="inlineStr">
        <is>
          <t>Flat ribbon 2.54mm</t>
        </is>
      </c>
      <c r="E44" s="9" t="n">
        <v>1</v>
      </c>
      <c r="F44" s="9" t="inlineStr">
        <is>
          <t>m</t>
        </is>
      </c>
      <c r="G44" s="11" t="n">
        <v>0.8</v>
      </c>
      <c r="H44" s="12">
        <f>E44*G44</f>
        <v/>
      </c>
      <c r="I44" s="10" t="inlineStr">
        <is>
          <t>AliExpress: '16 conductor ribbon cable 28AWG'</t>
        </is>
      </c>
      <c r="J44" s="10" t="inlineStr">
        <is>
          <t>Cut to 60cm.</t>
        </is>
      </c>
    </row>
    <row r="45" ht="36" customHeight="1">
      <c r="A45" s="5" t="n">
        <v>31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8" t="n"/>
    </row>
    <row r="46" ht="36" customHeight="1">
      <c r="A46" s="9" t="n">
        <v>32</v>
      </c>
      <c r="B46" s="10" t="inlineStr">
        <is>
          <t>J_P</t>
        </is>
      </c>
      <c r="C46" s="10" t="inlineStr">
        <is>
          <t>2x8 IDC shrouded male header — PCB</t>
        </is>
      </c>
      <c r="D46" s="10" t="inlineStr">
        <is>
          <t>16-pin shrouded IDC 2.54mm</t>
        </is>
      </c>
      <c r="E46" s="9" t="n">
        <v>1</v>
      </c>
      <c r="F46" s="9" t="inlineStr">
        <is>
          <t>ea</t>
        </is>
      </c>
      <c r="G46" s="11" t="n">
        <v>0.25</v>
      </c>
      <c r="H46" s="12">
        <f>E46*G46</f>
        <v/>
      </c>
      <c r="I46" s="10" t="inlineStr">
        <is>
          <t>AliExpress: '16 pin IDC shrouded header 2.54mm'</t>
        </is>
      </c>
      <c r="J46" s="10" t="inlineStr">
        <is>
          <t>Shrouded prevents mis-insertion.</t>
        </is>
      </c>
    </row>
    <row r="47" ht="36" customHeight="1">
      <c r="A47" s="5" t="n">
        <v>33</v>
      </c>
      <c r="B47" s="6" t="inlineStr">
        <is>
          <t>SR1</t>
        </is>
      </c>
      <c r="C47" s="6" t="inlineStr">
        <is>
          <t>IDC strain relief clip</t>
        </is>
      </c>
      <c r="D47" s="6" t="inlineStr">
        <is>
          <t>For 16-pin IDC</t>
        </is>
      </c>
      <c r="E47" s="5" t="n">
        <v>2</v>
      </c>
      <c r="F47" s="5" t="inlineStr">
        <is>
          <t>ea</t>
        </is>
      </c>
      <c r="G47" s="7" t="n">
        <v>0.1</v>
      </c>
      <c r="H47" s="8">
        <f>E47*G47</f>
        <v/>
      </c>
      <c r="I47" s="6" t="inlineStr">
        <is>
          <t>AliExpress: 'IDC strain relief 16 pin'</t>
        </is>
      </c>
      <c r="J47" s="6" t="inlineStr">
        <is>
          <t>One per cable end.</t>
        </is>
      </c>
    </row>
    <row r="48" ht="18" customHeight="1">
      <c r="A48" s="19" t="inlineStr">
        <is>
          <t>CABLE SIGNAL INTEGRITY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8" t="n"/>
    </row>
    <row r="49" ht="36" customHeight="1">
      <c r="A49" s="9" t="n">
        <v>34</v>
      </c>
      <c r="B49" s="10" t="inlineStr">
        <is>
          <t>R_N</t>
        </is>
      </c>
      <c r="C49" s="10" t="inlineStr">
        <is>
          <t>Resistor 470 Ohm — NeoPixel data</t>
        </is>
      </c>
      <c r="D49" s="10" t="inlineStr">
        <is>
          <t>1/4W through-hole</t>
        </is>
      </c>
      <c r="E49" s="9" t="n">
        <v>1</v>
      </c>
      <c r="F49" s="9" t="inlineStr">
        <is>
          <t>ea</t>
        </is>
      </c>
      <c r="G49" s="11" t="n">
        <v>0.02</v>
      </c>
      <c r="H49" s="12">
        <f>E49*G49</f>
        <v/>
      </c>
      <c r="I49" s="10" t="inlineStr">
        <is>
          <t>Any supplier</t>
        </is>
      </c>
      <c r="J49" s="10" t="inlineStr">
        <is>
          <t>Series on NeoPixel data at PCB end. Damps reflections on 60cm run.</t>
        </is>
      </c>
    </row>
    <row r="50" ht="36" customHeight="1">
      <c r="A50" s="5" t="n">
        <v>35</v>
      </c>
      <c r="B50" s="6" t="inlineStr">
        <is>
          <t>C_E1</t>
        </is>
      </c>
      <c r="C50" s="6" t="inlineStr">
        <is>
          <t>Cap 100nF — ENC_CLK filter</t>
        </is>
      </c>
      <c r="D50" s="6" t="inlineStr">
        <is>
          <t>Through-hole ceramic</t>
        </is>
      </c>
      <c r="E50" s="5" t="n">
        <v>1</v>
      </c>
      <c r="F50" s="5" t="inlineStr">
        <is>
          <t>ea</t>
        </is>
      </c>
      <c r="G50" s="7" t="n">
        <v>0.03</v>
      </c>
      <c r="H50" s="8">
        <f>E50*G50</f>
        <v/>
      </c>
      <c r="I50" s="6" t="inlineStr">
        <is>
          <t>AliExpress: '100nF ceramic'</t>
        </is>
      </c>
      <c r="J50" s="6" t="inlineStr">
        <is>
          <t>ENC_CLK to GND at PCB end. Prevents phantom scroll.</t>
        </is>
      </c>
    </row>
    <row r="51" ht="36" customHeight="1">
      <c r="A51" s="9" t="n">
        <v>36</v>
      </c>
      <c r="B51" s="10" t="inlineStr">
        <is>
          <t>C_E2</t>
        </is>
      </c>
      <c r="C51" s="10" t="inlineStr">
        <is>
          <t>Cap 100nF — ENC_DT filter</t>
        </is>
      </c>
      <c r="D51" s="10" t="inlineStr">
        <is>
          <t>Through-hole ceramic</t>
        </is>
      </c>
      <c r="E51" s="9" t="n">
        <v>1</v>
      </c>
      <c r="F51" s="9" t="inlineStr">
        <is>
          <t>ea</t>
        </is>
      </c>
      <c r="G51" s="11" t="n">
        <v>0.03</v>
      </c>
      <c r="H51" s="12">
        <f>E51*G51</f>
        <v/>
      </c>
      <c r="I51" s="10" t="inlineStr">
        <is>
          <t>AliExpress: '100nF ceramic'</t>
        </is>
      </c>
      <c r="J51" s="10" t="inlineStr">
        <is>
          <t>ENC_DT to GND at PCB end.</t>
        </is>
      </c>
    </row>
    <row r="52"/>
    <row r="53" ht="18" customHeight="1">
      <c r="A53" s="19" t="inlineStr">
        <is>
          <t>HANDHELD CABLE OPTION B — DB15 (VGA)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8" t="n"/>
    </row>
    <row r="54" ht="40" customHeight="1">
      <c r="A54" s="5" t="n">
        <v>37</v>
      </c>
      <c r="B54" s="6" t="inlineStr">
        <is>
          <t>J_DB15H</t>
        </is>
      </c>
      <c r="C54" s="6" t="inlineStr">
        <is>
          <t>DB15 female panel-mount connector — handheld</t>
        </is>
      </c>
      <c r="D54" s="6" t="inlineStr">
        <is>
          <t>DE-15 female chassis mount</t>
        </is>
      </c>
      <c r="E54" s="5" t="n">
        <v>1</v>
      </c>
      <c r="F54" s="5" t="inlineStr">
        <is>
          <t>ea</t>
        </is>
      </c>
      <c r="G54" s="7" t="n">
        <v>0.6</v>
      </c>
      <c r="H54" s="8">
        <f>E54*G54</f>
        <v/>
      </c>
      <c r="I54" s="6" t="inlineStr">
        <is>
          <t>AliExpress: 'DB15 female panel mount connector'</t>
        </is>
      </c>
      <c r="J54" s="6" t="inlineStr">
        <is>
          <t>Option B connector for handheld enclosure. Locking screws keep cable secure.</t>
        </is>
      </c>
    </row>
    <row r="55" ht="40" customHeight="1">
      <c r="A55" s="9" t="n">
        <v>38</v>
      </c>
      <c r="B55" s="10" t="inlineStr">
        <is>
          <t>J_DB15P</t>
        </is>
      </c>
      <c r="C55" s="10" t="inlineStr">
        <is>
          <t>DB15 male panel-mount connector — PCB/chassis</t>
        </is>
      </c>
      <c r="D55" s="10" t="inlineStr">
        <is>
          <t>DE-15 male chassis mount</t>
        </is>
      </c>
      <c r="E55" s="9" t="n">
        <v>1</v>
      </c>
      <c r="F55" s="9" t="inlineStr">
        <is>
          <t>ea</t>
        </is>
      </c>
      <c r="G55" s="11" t="n">
        <v>0.6</v>
      </c>
      <c r="H55" s="12">
        <f>E55*G55</f>
        <v/>
      </c>
      <c r="I55" s="10" t="inlineStr">
        <is>
          <t>AliExpress: 'DB15 male panel mount connector'</t>
        </is>
      </c>
      <c r="J55" s="10" t="inlineStr">
        <is>
          <t>Option B connector for main controller enclosure.</t>
        </is>
      </c>
    </row>
    <row r="56" ht="40" customHeight="1">
      <c r="A56" s="5" t="n">
        <v>39</v>
      </c>
      <c r="B56" s="6" t="inlineStr">
        <is>
          <t>W_DB15</t>
        </is>
      </c>
      <c r="C56" s="6" t="inlineStr">
        <is>
          <t>DB15 cable 0.5m — pre-made</t>
        </is>
      </c>
      <c r="D56" s="6" t="inlineStr">
        <is>
          <t>DE-15 male-to-male 0.5m</t>
        </is>
      </c>
      <c r="E56" s="5" t="n">
        <v>1</v>
      </c>
      <c r="F56" s="5" t="inlineStr">
        <is>
          <t>ea</t>
        </is>
      </c>
      <c r="G56" s="7" t="n">
        <v>2</v>
      </c>
      <c r="H56" s="8">
        <f>E56*G56</f>
        <v/>
      </c>
      <c r="I56" s="6" t="inlineStr">
        <is>
          <t>AliExpress: 'VGA cable 0.5m' or 'DB15 cable 0.5m'</t>
        </is>
      </c>
      <c r="J56" s="6" t="inlineStr">
        <is>
          <t>Standard VGA cable works perfectly. Male-to-male, 0.5m. Uses 14 of 15 pins — pin 15 doubles as extra GND. Locking screws at both ends prevent accidental disconnection.</t>
        </is>
      </c>
    </row>
    <row r="57"/>
    <row r="58" ht="18" customHeight="1">
      <c r="A58" s="19" t="inlineStr">
        <is>
          <t>HANDHELD CABLE OPTION C — DB25 (SERIAL/PARALLEL CABLE)</t>
        </is>
      </c>
    </row>
    <row r="59" ht="40" customHeight="1">
      <c r="A59" s="9" t="n">
        <v>40</v>
      </c>
      <c r="B59" s="10" t="inlineStr">
        <is>
          <t>J_D25H</t>
        </is>
      </c>
      <c r="C59" s="10" t="inlineStr">
        <is>
          <t>DB25 female panel-mount connector — handheld</t>
        </is>
      </c>
      <c r="D59" s="10" t="inlineStr">
        <is>
          <t>DE-25 female chassis mount</t>
        </is>
      </c>
      <c r="E59" s="9" t="n">
        <v>1</v>
      </c>
      <c r="F59" s="9" t="inlineStr">
        <is>
          <t>ea</t>
        </is>
      </c>
      <c r="G59" s="11" t="n">
        <v>0.5</v>
      </c>
      <c r="H59" s="12">
        <f>E59*G59</f>
        <v/>
      </c>
      <c r="I59" s="10" t="inlineStr">
        <is>
          <t>AliExpress: 'DB25 female panel mount connector'</t>
        </is>
      </c>
      <c r="J59" s="10" t="inlineStr">
        <is>
          <t>Option C connector for handheld enclosure. All 25 pins always wired. Locking screws. Old parallel port cables work perfectly.</t>
        </is>
      </c>
    </row>
    <row r="60" ht="40" customHeight="1">
      <c r="A60" s="5" t="n">
        <v>41</v>
      </c>
      <c r="B60" s="6" t="inlineStr">
        <is>
          <t>J_D25P</t>
        </is>
      </c>
      <c r="C60" s="6" t="inlineStr">
        <is>
          <t>DB25 male panel-mount connector — PCB/chassis</t>
        </is>
      </c>
      <c r="D60" s="6" t="inlineStr">
        <is>
          <t>DE-25 male chassis mount</t>
        </is>
      </c>
      <c r="E60" s="5" t="n">
        <v>1</v>
      </c>
      <c r="F60" s="5" t="inlineStr">
        <is>
          <t>ea</t>
        </is>
      </c>
      <c r="G60" s="7" t="n">
        <v>0.5</v>
      </c>
      <c r="H60" s="8">
        <f>E60*G60</f>
        <v/>
      </c>
      <c r="I60" s="6" t="inlineStr">
        <is>
          <t>AliExpress: 'DB25 male panel mount connector'</t>
        </is>
      </c>
      <c r="J60" s="6" t="inlineStr">
        <is>
          <t>Option C connector for main controller enclosure.</t>
        </is>
      </c>
    </row>
    <row r="61" ht="40" customHeight="1">
      <c r="A61" s="9" t="n">
        <v>42</v>
      </c>
      <c r="B61" s="10" t="inlineStr">
        <is>
          <t>W_D25</t>
        </is>
      </c>
      <c r="C61" s="10" t="inlineStr">
        <is>
          <t>DB25 cable — pre-made (use existing serial/parallel cable)</t>
        </is>
      </c>
      <c r="D61" s="10" t="inlineStr">
        <is>
          <t>DE-25 male-to-female or male-to-male</t>
        </is>
      </c>
      <c r="E61" s="9" t="n">
        <v>1</v>
      </c>
      <c r="F61" s="9" t="inlineStr">
        <is>
          <t>ea</t>
        </is>
      </c>
      <c r="G61" s="11" t="n">
        <v>0</v>
      </c>
      <c r="H61" s="12">
        <f>E61*G61</f>
        <v/>
      </c>
      <c r="I61" s="10" t="inlineStr">
        <is>
          <t>Existing stock — old PC serial or parallel port cable</t>
        </is>
      </c>
      <c r="J61" s="10" t="inlineStr">
        <is>
          <t>All 25 pins guaranteed wired. Uses 16 of 25 pins — 9 spares for future use. Male-to-female straight-through (not null modem). Verify with continuity checker before use.</t>
        </is>
      </c>
    </row>
    <row r="63">
      <c r="A63" s="13" t="inlineStr">
        <is>
          <t>ESTIMATED TOTAL (USD)</t>
        </is>
      </c>
      <c r="H63" s="14">
        <f>SUMIF(E5:E41,"&gt;0",H5:H41)</f>
        <v/>
      </c>
      <c r="I63" s="15" t="n"/>
      <c r="J63" s="15" t="n"/>
    </row>
    <row r="64"/>
    <row r="65">
      <c r="A65" s="16" t="inlineStr">
        <is>
          <t>* Prices estimated from AliExpress. Shipping not included. External 10kΩ pullup resistors are REQUIRED for GPIO34/35/36/39.</t>
        </is>
      </c>
    </row>
  </sheetData>
  <mergeCells count="16">
    <mergeCell ref="A1:J1"/>
    <mergeCell ref="A45:J45"/>
    <mergeCell ref="A5:J5"/>
    <mergeCell ref="A14:J14"/>
    <mergeCell ref="A58:J58"/>
    <mergeCell ref="A9:J9"/>
    <mergeCell ref="A18:J18"/>
    <mergeCell ref="A27:J27"/>
    <mergeCell ref="A53:J53"/>
    <mergeCell ref="A12:J12"/>
    <mergeCell ref="A7:J7"/>
    <mergeCell ref="A48:J48"/>
    <mergeCell ref="A43:J43"/>
    <mergeCell ref="A38:J38"/>
    <mergeCell ref="A2:J2"/>
    <mergeCell ref="A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2026-04-05T16:57:14Z</dcterms:created>
  <dcterms:modified xmlns:dcterms="http://purl.org/dc/terms/" xmlns:xsi="http://www.w3.org/2001/XMLSchema-instance" xsi:type="dcterms:W3CDTF">2026-04-06T00:06:09Z</dcterms:modified>
</cp:coreProperties>
</file>