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  <sheet xmlns:r="http://schemas.openxmlformats.org/officeDocument/2006/relationships" name="Firmware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0f346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/>
    </xf>
    <xf numFmtId="164" fontId="7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18" customWidth="1" min="4" max="4"/>
    <col width="5" customWidth="1" min="5" max="5"/>
    <col width="8" customWidth="1" min="6" max="6"/>
    <col width="16" customWidth="1" min="7" max="7"/>
    <col width="16" customWidth="1" min="8" max="8"/>
    <col width="28" customWidth="1" min="9" max="9"/>
    <col width="36" customWidth="1" min="10" max="10"/>
  </cols>
  <sheetData>
    <row r="1" ht="36" customHeight="1">
      <c r="A1" s="1" t="inlineStr">
        <is>
          <t>CAMERA SLIDER  —  Bill of Materials</t>
        </is>
      </c>
    </row>
    <row r="2" ht="18" customHeight="1">
      <c r="A2" s="2" t="inlineStr">
        <is>
          <t>Firmware v1.0  |  Arduino Uno + TMC2209 + SH1106 OLED + EC11 Encoder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Reference</t>
        </is>
      </c>
      <c r="C4" s="3" t="inlineStr">
        <is>
          <t>Description</t>
        </is>
      </c>
      <c r="D4" s="3" t="inlineStr">
        <is>
          <t>Package / Form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Est. Unit Cost (USD)</t>
        </is>
      </c>
      <c r="H4" s="3" t="inlineStr">
        <is>
          <t>Est. Total (USD)</t>
        </is>
      </c>
      <c r="I4" s="3" t="inlineStr">
        <is>
          <t>Supplier / Search Term</t>
        </is>
      </c>
      <c r="J4" s="3" t="inlineStr">
        <is>
          <t>Notes</t>
        </is>
      </c>
    </row>
    <row r="5" ht="20" customHeight="1">
      <c r="A5" s="4" t="inlineStr">
        <is>
          <t>MICROCONTROLLER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1" t="n"/>
    </row>
    <row r="6" ht="40" customHeight="1">
      <c r="A6" s="5" t="n">
        <v>1</v>
      </c>
      <c r="B6" s="6" t="inlineStr">
        <is>
          <t>Arduino Uno R3</t>
        </is>
      </c>
      <c r="C6" s="6" t="inlineStr">
        <is>
          <t>Arduino / clone Uno</t>
        </is>
      </c>
      <c r="D6" s="6" t="n">
        <v>1</v>
      </c>
      <c r="E6" s="5" t="inlineStr">
        <is>
          <t>ea</t>
        </is>
      </c>
      <c r="F6" s="5" t="n">
        <v>4.5</v>
      </c>
      <c r="G6" s="7" t="inlineStr">
        <is>
          <t>AliExpress: 'Arduino Uno R3 clone'</t>
        </is>
      </c>
      <c r="H6" s="8">
        <f>E6*G6</f>
        <v/>
      </c>
      <c r="I6" s="6" t="inlineStr">
        <is>
          <t>Or genuine Arduino ~$28. Any Uno-compatible board works.</t>
        </is>
      </c>
      <c r="J6" s="6" t="inlineStr"/>
    </row>
    <row r="7" ht="20" customHeight="1">
      <c r="A7" s="4" t="inlineStr">
        <is>
          <t>STEPPER MOTOR SYSTEM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1" t="n"/>
    </row>
    <row r="8" ht="40" customHeight="1">
      <c r="A8" s="9" t="n">
        <v>2</v>
      </c>
      <c r="B8" s="10" t="inlineStr">
        <is>
          <t>TMC2209 Stepper Driver</t>
        </is>
      </c>
      <c r="C8" s="10" t="inlineStr">
        <is>
          <t>Breakout module</t>
        </is>
      </c>
      <c r="D8" s="10" t="n">
        <v>1</v>
      </c>
      <c r="E8" s="9" t="inlineStr">
        <is>
          <t>ea</t>
        </is>
      </c>
      <c r="F8" s="9" t="n">
        <v>3.5</v>
      </c>
      <c r="G8" s="11" t="inlineStr">
        <is>
          <t>AliExpress: 'TMC2209 stepper driver module'</t>
        </is>
      </c>
      <c r="H8" s="12">
        <f>E8*G8</f>
        <v/>
      </c>
      <c r="I8" s="10" t="inlineStr">
        <is>
          <t>Bigtreetech or similar. Ensure UART/standalone jumper set correctly.</t>
        </is>
      </c>
      <c r="J8" s="10" t="inlineStr"/>
    </row>
    <row r="9" ht="40" customHeight="1">
      <c r="A9" s="5" t="n">
        <v>3</v>
      </c>
      <c r="B9" s="6" t="inlineStr">
        <is>
          <t>NEMA 17 Stepper Motor</t>
        </is>
      </c>
      <c r="C9" s="6" t="inlineStr">
        <is>
          <t>NEMA 17 body</t>
        </is>
      </c>
      <c r="D9" s="6" t="n">
        <v>1</v>
      </c>
      <c r="E9" s="5" t="inlineStr">
        <is>
          <t>ea</t>
        </is>
      </c>
      <c r="F9" s="5" t="n">
        <v>8</v>
      </c>
      <c r="G9" s="7" t="inlineStr">
        <is>
          <t>AliExpress: 'NEMA 17 stepper motor 40mm'</t>
        </is>
      </c>
      <c r="H9" s="8">
        <f>E9*G9</f>
        <v/>
      </c>
      <c r="I9" s="6" t="inlineStr">
        <is>
          <t>17HS4401 or similar. 1.5–2 A/phase recommended.</t>
        </is>
      </c>
      <c r="J9" s="6" t="inlineStr"/>
    </row>
    <row r="10" ht="20" customHeight="1">
      <c r="A10" s="4" t="inlineStr">
        <is>
          <t>DISPLAY &amp; USER INTERFACE</t>
        </is>
      </c>
      <c r="B10" s="20" t="n"/>
      <c r="C10" s="20" t="n"/>
      <c r="D10" s="20" t="n"/>
      <c r="E10" s="20" t="n"/>
      <c r="F10" s="20" t="n"/>
      <c r="G10" s="20" t="n"/>
      <c r="H10" s="20" t="n"/>
      <c r="I10" s="20" t="n"/>
      <c r="J10" s="21" t="n"/>
    </row>
    <row r="11" ht="40" customHeight="1">
      <c r="A11" s="9" t="n">
        <v>4</v>
      </c>
      <c r="B11" s="10" t="inlineStr">
        <is>
          <t>SH1106 1.3" OLED + EC11 Encoder Module</t>
        </is>
      </c>
      <c r="C11" s="10" t="inlineStr">
        <is>
          <t>Integrated breakout board</t>
        </is>
      </c>
      <c r="D11" s="10" t="n">
        <v>1</v>
      </c>
      <c r="E11" s="9" t="inlineStr">
        <is>
          <t>ea</t>
        </is>
      </c>
      <c r="F11" s="9" t="n">
        <v>5.5</v>
      </c>
      <c r="G11" s="11" t="inlineStr">
        <is>
          <t>AliExpress: 'SH1106 OLED EC11 encoder module'</t>
        </is>
      </c>
      <c r="H11" s="12">
        <f>E11*G11</f>
        <v/>
      </c>
      <c r="I11" s="10" t="inlineStr">
        <is>
          <t>3.3 V OLED + EC11 encoder + 2 buttons on one PCB. IIC interface.</t>
        </is>
      </c>
      <c r="J11" s="10" t="inlineStr"/>
    </row>
    <row r="12" ht="20" customHeight="1">
      <c r="A12" s="4" t="inlineStr">
        <is>
          <t>INFRARED REMOTE CONTROL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 t="n"/>
    </row>
    <row r="13" ht="40" customHeight="1">
      <c r="A13" s="5" t="n">
        <v>5</v>
      </c>
      <c r="B13" s="6" t="inlineStr">
        <is>
          <t>IR Receiver Module</t>
        </is>
      </c>
      <c r="C13" s="6" t="inlineStr">
        <is>
          <t>Through-hole module (3-pin)</t>
        </is>
      </c>
      <c r="D13" s="6" t="n">
        <v>1</v>
      </c>
      <c r="E13" s="5" t="inlineStr">
        <is>
          <t>ea</t>
        </is>
      </c>
      <c r="F13" s="5" t="n">
        <v>0.8</v>
      </c>
      <c r="G13" s="7" t="inlineStr">
        <is>
          <t>AliExpress: 'VS1838B IR receiver module'</t>
        </is>
      </c>
      <c r="H13" s="8">
        <f>E13*G13</f>
        <v/>
      </c>
      <c r="I13" s="6" t="inlineStr">
        <is>
          <t>VS1838B or TSOP4838. 38 kHz carrier frequency.</t>
        </is>
      </c>
      <c r="J13" s="6" t="inlineStr"/>
    </row>
    <row r="14" ht="40" customHeight="1">
      <c r="A14" s="9" t="n">
        <v>6</v>
      </c>
      <c r="B14" s="10" t="inlineStr">
        <is>
          <t>18-Key IR Remote Control</t>
        </is>
      </c>
      <c r="C14" s="10" t="inlineStr">
        <is>
          <t>Consumer IR remote</t>
        </is>
      </c>
      <c r="D14" s="10" t="n">
        <v>1</v>
      </c>
      <c r="E14" s="9" t="inlineStr">
        <is>
          <t>ea</t>
        </is>
      </c>
      <c r="F14" s="9" t="n">
        <v>1.2</v>
      </c>
      <c r="G14" s="11" t="inlineStr">
        <is>
          <t>AliExpress: '18 key IR remote control NEC'</t>
        </is>
      </c>
      <c r="H14" s="12">
        <f>E14*G14</f>
        <v/>
      </c>
      <c r="I14" s="10" t="inlineStr">
        <is>
          <t>NEC protocol. Any 18-key mini remote compatible.</t>
        </is>
      </c>
      <c r="J14" s="10" t="inlineStr"/>
    </row>
    <row r="15" ht="20" customHeight="1">
      <c r="A15" s="4" t="inlineStr">
        <is>
          <t>ENDSTOPS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1" t="n"/>
    </row>
    <row r="16" ht="40" customHeight="1">
      <c r="A16" s="5" t="n">
        <v>7</v>
      </c>
      <c r="B16" s="6" t="inlineStr">
        <is>
          <t>Mechanical Endstop Switch</t>
        </is>
      </c>
      <c r="C16" s="6" t="inlineStr">
        <is>
          <t>Micro switch (NC)</t>
        </is>
      </c>
      <c r="D16" s="6" t="n">
        <v>2</v>
      </c>
      <c r="E16" s="5" t="inlineStr">
        <is>
          <t>ea</t>
        </is>
      </c>
      <c r="F16" s="5" t="n">
        <v>0.4</v>
      </c>
      <c r="G16" s="7" t="inlineStr">
        <is>
          <t>AliExpress: 'KW10 micro switch NC'</t>
        </is>
      </c>
      <c r="H16" s="8">
        <f>E16*G16</f>
        <v/>
      </c>
      <c r="I16" s="6" t="inlineStr">
        <is>
          <t>Normally Closed (NC). Wired between signal pin and GND.</t>
        </is>
      </c>
      <c r="J16" s="6" t="inlineStr"/>
    </row>
    <row r="17" ht="20" customHeight="1">
      <c r="A17" s="4" t="inlineStr">
        <is>
          <t>EXTERNAL BUTTONS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1" t="n"/>
    </row>
    <row r="18" ht="40" customHeight="1">
      <c r="A18" s="9" t="n">
        <v>8</v>
      </c>
      <c r="B18" s="10" t="inlineStr">
        <is>
          <t>Momentary Push Button — LEFT Jog</t>
        </is>
      </c>
      <c r="C18" s="10" t="inlineStr">
        <is>
          <t>PCB mount or panel mount</t>
        </is>
      </c>
      <c r="D18" s="10" t="n">
        <v>1</v>
      </c>
      <c r="E18" s="9" t="inlineStr">
        <is>
          <t>ea</t>
        </is>
      </c>
      <c r="F18" s="9" t="n">
        <v>0.2</v>
      </c>
      <c r="G18" s="11" t="inlineStr">
        <is>
          <t>AliExpress: '12mm momentary push button'</t>
        </is>
      </c>
      <c r="H18" s="12">
        <f>E18*G18</f>
        <v/>
      </c>
      <c r="I18" s="10" t="inlineStr">
        <is>
          <t>Any normally-open momentary button. Panel mount for enclosure.</t>
        </is>
      </c>
      <c r="J18" s="10" t="inlineStr"/>
    </row>
    <row r="19" ht="40" customHeight="1">
      <c r="A19" s="5" t="n">
        <v>9</v>
      </c>
      <c r="B19" s="6" t="inlineStr">
        <is>
          <t>Momentary Push Button — RIGHT Jog</t>
        </is>
      </c>
      <c r="C19" s="6" t="inlineStr">
        <is>
          <t>PCB mount or panel mount</t>
        </is>
      </c>
      <c r="D19" s="6" t="n">
        <v>1</v>
      </c>
      <c r="E19" s="5" t="inlineStr">
        <is>
          <t>ea</t>
        </is>
      </c>
      <c r="F19" s="5" t="n">
        <v>0.2</v>
      </c>
      <c r="G19" s="7" t="inlineStr">
        <is>
          <t>AliExpress: '12mm momentary push button'</t>
        </is>
      </c>
      <c r="H19" s="8">
        <f>E19*G19</f>
        <v/>
      </c>
      <c r="I19" s="6" t="inlineStr">
        <is>
          <t>Same as SW4.</t>
        </is>
      </c>
      <c r="J19" s="6" t="inlineStr"/>
    </row>
    <row r="20" ht="40" customHeight="1">
      <c r="A20" s="9" t="n">
        <v>10</v>
      </c>
      <c r="B20" s="10" t="inlineStr">
        <is>
          <t>Momentary Push Button — E-STOP</t>
        </is>
      </c>
      <c r="C20" s="10" t="inlineStr">
        <is>
          <t>Panel mount, latching or momentary</t>
        </is>
      </c>
      <c r="D20" s="10" t="n">
        <v>1</v>
      </c>
      <c r="E20" s="9" t="inlineStr">
        <is>
          <t>ea</t>
        </is>
      </c>
      <c r="F20" s="9" t="n">
        <v>1.5</v>
      </c>
      <c r="G20" s="11" t="inlineStr">
        <is>
          <t>AliExpress: 'red mushroom emergency stop button'</t>
        </is>
      </c>
      <c r="H20" s="12">
        <f>E20*G20</f>
        <v/>
      </c>
      <c r="I20" s="10" t="inlineStr">
        <is>
          <t>Recommend a red mushroom-head button for clear identification. Momentary (firmware handles decel stop).</t>
        </is>
      </c>
      <c r="J20" s="10" t="inlineStr"/>
    </row>
    <row r="21" ht="20" customHeight="1">
      <c r="A21" s="4" t="inlineStr">
        <is>
          <t>CONNECTORS &amp; HEADERS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1" t="n"/>
    </row>
    <row r="22" ht="40" customHeight="1">
      <c r="A22" s="5" t="n">
        <v>11</v>
      </c>
      <c r="B22" s="6" t="inlineStr">
        <is>
          <t>2-pin Screw Terminal Block — Endstop Left</t>
        </is>
      </c>
      <c r="C22" s="6" t="inlineStr">
        <is>
          <t>5.08 mm pitch PCB screw terminal</t>
        </is>
      </c>
      <c r="D22" s="6" t="n">
        <v>1</v>
      </c>
      <c r="E22" s="5" t="inlineStr">
        <is>
          <t>ea</t>
        </is>
      </c>
      <c r="F22" s="5" t="n">
        <v>0.15</v>
      </c>
      <c r="G22" s="7" t="inlineStr">
        <is>
          <t>AliExpress: '5.08mm 2pin screw terminal'</t>
        </is>
      </c>
      <c r="H22" s="8">
        <f>E22*G22</f>
        <v/>
      </c>
      <c r="I22" s="6" t="inlineStr">
        <is>
          <t>One per endstop wire pair.</t>
        </is>
      </c>
      <c r="J22" s="6" t="inlineStr"/>
    </row>
    <row r="23" ht="40" customHeight="1">
      <c r="A23" s="9" t="n">
        <v>12</v>
      </c>
      <c r="B23" s="10" t="inlineStr">
        <is>
          <t>2-pin Screw Terminal Block — Endstop Right</t>
        </is>
      </c>
      <c r="C23" s="10" t="inlineStr">
        <is>
          <t>5.08 mm pitch PCB screw terminal</t>
        </is>
      </c>
      <c r="D23" s="10" t="n">
        <v>1</v>
      </c>
      <c r="E23" s="9" t="inlineStr">
        <is>
          <t>ea</t>
        </is>
      </c>
      <c r="F23" s="9" t="n">
        <v>0.15</v>
      </c>
      <c r="G23" s="11" t="inlineStr">
        <is>
          <t>AliExpress: '5.08mm 2pin screw terminal'</t>
        </is>
      </c>
      <c r="H23" s="12">
        <f>E23*G23</f>
        <v/>
      </c>
      <c r="I23" s="10" t="inlineStr"/>
      <c r="J23" s="10" t="inlineStr"/>
    </row>
    <row r="24" ht="40" customHeight="1">
      <c r="A24" s="5" t="n">
        <v>13</v>
      </c>
      <c r="B24" s="6" t="inlineStr">
        <is>
          <t>4-pin Screw Terminal Block — Stepper Motor</t>
        </is>
      </c>
      <c r="C24" s="6" t="inlineStr">
        <is>
          <t>5.08 mm pitch PCB screw terminal</t>
        </is>
      </c>
      <c r="D24" s="6" t="n">
        <v>1</v>
      </c>
      <c r="E24" s="5" t="inlineStr">
        <is>
          <t>ea</t>
        </is>
      </c>
      <c r="F24" s="5" t="n">
        <v>0.25</v>
      </c>
      <c r="G24" s="7" t="inlineStr">
        <is>
          <t>AliExpress: '5.08mm 4pin screw terminal'</t>
        </is>
      </c>
      <c r="H24" s="8">
        <f>E24*G24</f>
        <v/>
      </c>
      <c r="I24" s="6" t="inlineStr">
        <is>
          <t>A+, A-, B+, B- motor wires.</t>
        </is>
      </c>
      <c r="J24" s="6" t="inlineStr"/>
    </row>
    <row r="25" ht="40" customHeight="1">
      <c r="A25" s="9" t="n">
        <v>14</v>
      </c>
      <c r="B25" s="10" t="inlineStr">
        <is>
          <t>2-pin Screw Terminal Block — Motor PSU</t>
        </is>
      </c>
      <c r="C25" s="10" t="inlineStr">
        <is>
          <t>5.08 mm pitch PCB screw terminal</t>
        </is>
      </c>
      <c r="D25" s="10" t="n">
        <v>1</v>
      </c>
      <c r="E25" s="9" t="inlineStr">
        <is>
          <t>ea</t>
        </is>
      </c>
      <c r="F25" s="9" t="n">
        <v>0.15</v>
      </c>
      <c r="G25" s="11" t="inlineStr">
        <is>
          <t>AliExpress: '5.08mm 2pin screw terminal'</t>
        </is>
      </c>
      <c r="H25" s="12">
        <f>E25*G25</f>
        <v/>
      </c>
      <c r="I25" s="10" t="inlineStr">
        <is>
          <t>12–24 V motor power input.</t>
        </is>
      </c>
      <c r="J25" s="10" t="inlineStr"/>
    </row>
    <row r="26" ht="40" customHeight="1">
      <c r="A26" s="5" t="n">
        <v>15</v>
      </c>
      <c r="B26" s="6" t="inlineStr">
        <is>
          <t>DC Barrel Jack — PSU Input</t>
        </is>
      </c>
      <c r="C26" s="6" t="inlineStr">
        <is>
          <t>PCB mount 5.5/2.1 mm</t>
        </is>
      </c>
      <c r="D26" s="6" t="n">
        <v>1</v>
      </c>
      <c r="E26" s="5" t="inlineStr">
        <is>
          <t>ea</t>
        </is>
      </c>
      <c r="F26" s="5" t="n">
        <v>0.3</v>
      </c>
      <c r="G26" s="7" t="inlineStr">
        <is>
          <t>AliExpress: 'DC barrel jack PCB mount 5.5mm'</t>
        </is>
      </c>
      <c r="H26" s="8">
        <f>E26*G26</f>
        <v/>
      </c>
      <c r="I26" s="6" t="inlineStr">
        <is>
          <t>Alternative to screw terminal for PSU. Match your PSU plug.</t>
        </is>
      </c>
      <c r="J26" s="6" t="inlineStr"/>
    </row>
    <row r="27" ht="40" customHeight="1">
      <c r="A27" s="9" t="n">
        <v>16</v>
      </c>
      <c r="B27" s="10" t="inlineStr">
        <is>
          <t>Pin Header 2.54mm — Arduino Uno Socket</t>
        </is>
      </c>
      <c r="C27" s="10" t="inlineStr">
        <is>
          <t>2x 1×15 + 2x 1×8 female headers</t>
        </is>
      </c>
      <c r="D27" s="10" t="n">
        <v>1</v>
      </c>
      <c r="E27" s="9" t="inlineStr">
        <is>
          <t>set</t>
        </is>
      </c>
      <c r="F27" s="9" t="n">
        <v>0.8</v>
      </c>
      <c r="G27" s="11" t="inlineStr">
        <is>
          <t>AliExpress: '2.54mm female pin header strip'</t>
        </is>
      </c>
      <c r="H27" s="12">
        <f>E27*G27</f>
        <v/>
      </c>
      <c r="I27" s="10" t="inlineStr">
        <is>
          <t>Socket the Uno so it can be removed for reprogramming.</t>
        </is>
      </c>
      <c r="J27" s="10" t="inlineStr"/>
    </row>
    <row r="28" ht="40" customHeight="1">
      <c r="A28" s="5" t="n">
        <v>17</v>
      </c>
      <c r="B28" s="6" t="inlineStr">
        <is>
          <t>Pin Header 2.54mm — TMC2209 Socket</t>
        </is>
      </c>
      <c r="C28" s="6" t="inlineStr">
        <is>
          <t>2x 1×8 female headers</t>
        </is>
      </c>
      <c r="D28" s="6" t="n">
        <v>1</v>
      </c>
      <c r="E28" s="5" t="inlineStr">
        <is>
          <t>set</t>
        </is>
      </c>
      <c r="F28" s="5" t="n">
        <v>0.3</v>
      </c>
      <c r="G28" s="7" t="inlineStr">
        <is>
          <t>AliExpress: '2.54mm female pin header strip'</t>
        </is>
      </c>
      <c r="H28" s="8">
        <f>E28*G28</f>
        <v/>
      </c>
      <c r="I28" s="6" t="inlineStr">
        <is>
          <t>Socket the driver module for easy replacement.</t>
        </is>
      </c>
      <c r="J28" s="6" t="inlineStr"/>
    </row>
    <row r="29" ht="40" customHeight="1">
      <c r="A29" s="9" t="n">
        <v>18</v>
      </c>
      <c r="B29" s="10" t="inlineStr">
        <is>
          <t>Pin Header 2.54mm — OLED/Encoder Module</t>
        </is>
      </c>
      <c r="C29" s="10" t="inlineStr">
        <is>
          <t>1×4 + encoder + button pins</t>
        </is>
      </c>
      <c r="D29" s="10" t="n">
        <v>1</v>
      </c>
      <c r="E29" s="9" t="inlineStr">
        <is>
          <t>set</t>
        </is>
      </c>
      <c r="F29" s="9" t="n">
        <v>0.2</v>
      </c>
      <c r="G29" s="11" t="inlineStr">
        <is>
          <t>AliExpress: '2.54mm male pin header strip'</t>
        </is>
      </c>
      <c r="H29" s="12">
        <f>E29*G29</f>
        <v/>
      </c>
      <c r="I29" s="10" t="inlineStr">
        <is>
          <t>Check module pinout — may need right-angle header for panel mount.</t>
        </is>
      </c>
      <c r="J29" s="10" t="inlineStr"/>
    </row>
    <row r="30" ht="40" customHeight="1">
      <c r="A30" s="5" t="n">
        <v>19</v>
      </c>
      <c r="B30" s="6" t="inlineStr">
        <is>
          <t>3-pin Header — IR Receiver</t>
        </is>
      </c>
      <c r="C30" s="6" t="inlineStr">
        <is>
          <t>2.54 mm male header</t>
        </is>
      </c>
      <c r="D30" s="6" t="n">
        <v>1</v>
      </c>
      <c r="E30" s="5" t="inlineStr">
        <is>
          <t>ea</t>
        </is>
      </c>
      <c r="F30" s="5" t="n">
        <v>0.05</v>
      </c>
      <c r="G30" s="7" t="inlineStr">
        <is>
          <t>AliExpress: '2.54mm male pin header strip'</t>
        </is>
      </c>
      <c r="H30" s="8">
        <f>E30*G30</f>
        <v/>
      </c>
      <c r="I30" s="6" t="inlineStr">
        <is>
          <t>VCC, GND, DATA.</t>
        </is>
      </c>
      <c r="J30" s="6" t="inlineStr"/>
    </row>
    <row r="31" ht="40" customHeight="1">
      <c r="A31" s="9" t="n">
        <v>20</v>
      </c>
      <c r="B31" s="10" t="inlineStr">
        <is>
          <t>3-pin Screw Terminal — LEFT button</t>
        </is>
      </c>
      <c r="C31" s="10" t="inlineStr">
        <is>
          <t>2.54 mm or 5.08 mm pitch</t>
        </is>
      </c>
      <c r="D31" s="10" t="n">
        <v>1</v>
      </c>
      <c r="E31" s="9" t="inlineStr">
        <is>
          <t>ea</t>
        </is>
      </c>
      <c r="F31" s="9" t="n">
        <v>0.15</v>
      </c>
      <c r="G31" s="11" t="inlineStr">
        <is>
          <t>AliExpress: '3pin screw terminal 2.54mm'</t>
        </is>
      </c>
      <c r="H31" s="12">
        <f>E31*G31</f>
        <v/>
      </c>
      <c r="I31" s="10" t="inlineStr">
        <is>
          <t>Or use 2-pin; GND can be daisy-chained.</t>
        </is>
      </c>
      <c r="J31" s="10" t="inlineStr"/>
    </row>
    <row r="32" ht="40" customHeight="1">
      <c r="A32" s="5" t="n">
        <v>21</v>
      </c>
      <c r="B32" s="6" t="inlineStr">
        <is>
          <t>3-pin Screw Terminal — RIGHT button</t>
        </is>
      </c>
      <c r="C32" s="6" t="inlineStr">
        <is>
          <t>2.54 mm or 5.08 mm pitch</t>
        </is>
      </c>
      <c r="D32" s="6" t="n">
        <v>1</v>
      </c>
      <c r="E32" s="5" t="inlineStr">
        <is>
          <t>ea</t>
        </is>
      </c>
      <c r="F32" s="5" t="n">
        <v>0.15</v>
      </c>
      <c r="G32" s="7" t="inlineStr">
        <is>
          <t>AliExpress: '3pin screw terminal 2.54mm'</t>
        </is>
      </c>
      <c r="H32" s="8">
        <f>E32*G32</f>
        <v/>
      </c>
      <c r="I32" s="6" t="inlineStr"/>
      <c r="J32" s="6" t="inlineStr"/>
    </row>
    <row r="33" ht="40" customHeight="1">
      <c r="A33" s="9" t="n">
        <v>22</v>
      </c>
      <c r="B33" s="10" t="inlineStr">
        <is>
          <t>3-pin Screw Terminal — E-STOP button</t>
        </is>
      </c>
      <c r="C33" s="10" t="inlineStr">
        <is>
          <t>2.54 mm or 5.08 mm pitch</t>
        </is>
      </c>
      <c r="D33" s="10" t="n">
        <v>1</v>
      </c>
      <c r="E33" s="9" t="inlineStr">
        <is>
          <t>ea</t>
        </is>
      </c>
      <c r="F33" s="9" t="n">
        <v>0.15</v>
      </c>
      <c r="G33" s="11" t="inlineStr">
        <is>
          <t>AliExpress: '3pin screw terminal 2.54mm'</t>
        </is>
      </c>
      <c r="H33" s="12">
        <f>E33*G33</f>
        <v/>
      </c>
      <c r="I33" s="10" t="inlineStr"/>
      <c r="J33" s="10" t="inlineStr"/>
    </row>
    <row r="34" ht="20" customHeight="1">
      <c r="A34" s="4" t="inlineStr">
        <is>
          <t>PASSIVES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1" t="n"/>
    </row>
    <row r="35" ht="40" customHeight="1">
      <c r="A35" s="5" t="n">
        <v>23</v>
      </c>
      <c r="B35" s="6" t="inlineStr">
        <is>
          <t>Resistor 220 Ω — Power LED</t>
        </is>
      </c>
      <c r="C35" s="6" t="inlineStr">
        <is>
          <t>Through-hole 1/4 W</t>
        </is>
      </c>
      <c r="D35" s="6" t="n">
        <v>1</v>
      </c>
      <c r="E35" s="5" t="inlineStr">
        <is>
          <t>ea</t>
        </is>
      </c>
      <c r="F35" s="5" t="n">
        <v>0.02</v>
      </c>
      <c r="G35" s="7" t="inlineStr">
        <is>
          <t>Any supplier</t>
        </is>
      </c>
      <c r="H35" s="8">
        <f>E35*G35</f>
        <v/>
      </c>
      <c r="I35" s="6" t="inlineStr">
        <is>
          <t>Current limiting for D1 power indicator LED.</t>
        </is>
      </c>
      <c r="J35" s="6" t="inlineStr"/>
    </row>
    <row r="36" ht="40" customHeight="1">
      <c r="A36" s="9" t="n">
        <v>24</v>
      </c>
      <c r="B36" s="10" t="inlineStr">
        <is>
          <t>LED — Power Indicator</t>
        </is>
      </c>
      <c r="C36" s="10" t="inlineStr">
        <is>
          <t>5 mm through-hole</t>
        </is>
      </c>
      <c r="D36" s="10" t="n">
        <v>1</v>
      </c>
      <c r="E36" s="9" t="inlineStr">
        <is>
          <t>ea</t>
        </is>
      </c>
      <c r="F36" s="9" t="n">
        <v>0.05</v>
      </c>
      <c r="G36" s="11" t="inlineStr">
        <is>
          <t>AliExpress: '5mm green LED'</t>
        </is>
      </c>
      <c r="H36" s="12">
        <f>E36*G36</f>
        <v/>
      </c>
      <c r="I36" s="10" t="inlineStr">
        <is>
          <t>Green = power on. Connect via R1 to 5V and GND.</t>
        </is>
      </c>
      <c r="J36" s="10" t="inlineStr"/>
    </row>
    <row r="37" ht="40" customHeight="1">
      <c r="A37" s="5" t="n">
        <v>25</v>
      </c>
      <c r="B37" s="6" t="inlineStr">
        <is>
          <t>Capacitor 100 nF — Decoupling</t>
        </is>
      </c>
      <c r="C37" s="6" t="inlineStr">
        <is>
          <t>Through-hole ceramic</t>
        </is>
      </c>
      <c r="D37" s="6" t="n">
        <v>4</v>
      </c>
      <c r="E37" s="5" t="inlineStr">
        <is>
          <t>ea</t>
        </is>
      </c>
      <c r="F37" s="5" t="n">
        <v>0.03</v>
      </c>
      <c r="G37" s="7" t="inlineStr">
        <is>
          <t>AliExpress: '100nF 104 ceramic capacitor'</t>
        </is>
      </c>
      <c r="H37" s="8">
        <f>E37*G37</f>
        <v/>
      </c>
      <c r="I37" s="6" t="inlineStr">
        <is>
          <t>Place one near each IC power pin (Arduino 5V, TMC2209 VIO, IR module VCC, OLED VCC).</t>
        </is>
      </c>
      <c r="J37" s="6" t="inlineStr"/>
    </row>
    <row r="38" ht="40" customHeight="1">
      <c r="A38" s="9" t="n">
        <v>26</v>
      </c>
      <c r="B38" s="10" t="inlineStr">
        <is>
          <t>Capacitor 100 µF 25V — Bulk decoupling</t>
        </is>
      </c>
      <c r="C38" s="10" t="inlineStr">
        <is>
          <t>Through-hole electrolytic</t>
        </is>
      </c>
      <c r="D38" s="10" t="n">
        <v>1</v>
      </c>
      <c r="E38" s="9" t="inlineStr">
        <is>
          <t>ea</t>
        </is>
      </c>
      <c r="F38" s="9" t="n">
        <v>0.1</v>
      </c>
      <c r="G38" s="11" t="inlineStr">
        <is>
          <t>AliExpress: '100uF 25V electrolytic capacitor'</t>
        </is>
      </c>
      <c r="H38" s="12">
        <f>E38*G38</f>
        <v/>
      </c>
      <c r="I38" s="10" t="inlineStr">
        <is>
          <t>Across motor PSU input on PCB to absorb back-EMF spikes.</t>
        </is>
      </c>
      <c r="J38" s="10" t="inlineStr"/>
    </row>
    <row r="39" ht="20" customHeight="1">
      <c r="A39" s="4" t="inlineStr">
        <is>
          <t>PCB &amp; MECHANICAL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1" t="n"/>
    </row>
    <row r="40" ht="40" customHeight="1">
      <c r="A40" s="5" t="n">
        <v>27</v>
      </c>
      <c r="B40" s="6" t="inlineStr">
        <is>
          <t>Custom PCB</t>
        </is>
      </c>
      <c r="C40" s="6" t="inlineStr">
        <is>
          <t>EasyEDA → JLCPCB</t>
        </is>
      </c>
      <c r="D40" s="6" t="n">
        <v>5</v>
      </c>
      <c r="E40" s="5" t="inlineStr">
        <is>
          <t>ea</t>
        </is>
      </c>
      <c r="F40" s="5" t="n">
        <v>1</v>
      </c>
      <c r="G40" s="7" t="inlineStr">
        <is>
          <t>jlcpcb.com</t>
        </is>
      </c>
      <c r="H40" s="8">
        <f>E40*G40</f>
        <v/>
      </c>
      <c r="I40" s="6" t="inlineStr">
        <is>
          <t>Min order 5 boards. Approx $5–10 + shipping for standard 2-layer.</t>
        </is>
      </c>
      <c r="J40" s="6" t="inlineStr"/>
    </row>
    <row r="41" ht="40" customHeight="1">
      <c r="A41" s="9" t="n">
        <v>28</v>
      </c>
      <c r="B41" s="10" t="inlineStr">
        <is>
          <t>M3 Standoffs + Screws — PCB mounting</t>
        </is>
      </c>
      <c r="C41" s="10" t="inlineStr">
        <is>
          <t>M3 x 10mm brass standoff</t>
        </is>
      </c>
      <c r="D41" s="10" t="n">
        <v>4</v>
      </c>
      <c r="E41" s="9" t="inlineStr">
        <is>
          <t>set</t>
        </is>
      </c>
      <c r="F41" s="9" t="n">
        <v>0.1</v>
      </c>
      <c r="G41" s="11" t="inlineStr">
        <is>
          <t>AliExpress: 'M3 brass standoff 10mm'</t>
        </is>
      </c>
      <c r="H41" s="12">
        <f>E41*G41</f>
        <v/>
      </c>
      <c r="I41" s="10" t="inlineStr">
        <is>
          <t>For mounting PCB in enclosure.</t>
        </is>
      </c>
      <c r="J41" s="10" t="inlineStr"/>
    </row>
    <row r="42" ht="40" customHeight="1">
      <c r="A42" s="5" t="n">
        <v>29</v>
      </c>
      <c r="B42" s="6" t="inlineStr">
        <is>
          <t>Project Enclosure (optional)</t>
        </is>
      </c>
      <c r="C42" s="6" t="inlineStr">
        <is>
          <t>ABS or aluminium enclosure</t>
        </is>
      </c>
      <c r="D42" s="6" t="n">
        <v>1</v>
      </c>
      <c r="E42" s="5" t="inlineStr">
        <is>
          <t>ea</t>
        </is>
      </c>
      <c r="F42" s="5" t="n">
        <v>5</v>
      </c>
      <c r="G42" s="7" t="inlineStr">
        <is>
          <t>AliExpress: 'ABS project enclosure 120x80mm'</t>
        </is>
      </c>
      <c r="H42" s="8">
        <f>E42*G42</f>
        <v/>
      </c>
      <c r="I42" s="6" t="inlineStr">
        <is>
          <t>Size to fit PCB + connectors. Panel-mount buttons and OLED cutout needed.</t>
        </is>
      </c>
      <c r="J42" s="6" t="inlineStr"/>
    </row>
    <row r="43" ht="6" customHeight="1"/>
    <row r="44" ht="18" customHeight="1">
      <c r="A44" s="22" t="inlineStr">
        <is>
          <t>HANDHELD CABLE &amp; CONNECTORS</t>
        </is>
      </c>
      <c r="B44" s="20" t="n"/>
      <c r="C44" s="20" t="n"/>
      <c r="D44" s="20" t="n"/>
      <c r="E44" s="20" t="n"/>
      <c r="F44" s="20" t="n"/>
      <c r="G44" s="21" t="n"/>
      <c r="H44" s="20" t="n"/>
      <c r="I44" s="20" t="n"/>
      <c r="J44" s="21" t="n"/>
    </row>
    <row r="45" ht="36" customHeight="1">
      <c r="A45" s="9" t="n">
        <v>30</v>
      </c>
      <c r="B45" s="10" t="inlineStr">
        <is>
          <t>W1</t>
        </is>
      </c>
      <c r="C45" s="10" t="inlineStr">
        <is>
          <t>16-conductor ribbon cable 28AWG</t>
        </is>
      </c>
      <c r="D45" s="10" t="inlineStr">
        <is>
          <t>Flat ribbon 2.54mm</t>
        </is>
      </c>
      <c r="E45" s="9" t="n">
        <v>1</v>
      </c>
      <c r="F45" s="9" t="inlineStr">
        <is>
          <t>m</t>
        </is>
      </c>
      <c r="G45" s="11" t="n">
        <v>0.8</v>
      </c>
      <c r="H45" s="12">
        <f>E45*G45</f>
        <v/>
      </c>
      <c r="I45" s="10" t="inlineStr">
        <is>
          <t>AliExpress: '16 conductor ribbon cable 28AWG'</t>
        </is>
      </c>
      <c r="J45" s="10" t="inlineStr">
        <is>
          <t>Cut to 60cm.</t>
        </is>
      </c>
    </row>
    <row r="46" ht="36" customHeight="1">
      <c r="A46" s="5" t="n">
        <v>31</v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1" t="n"/>
    </row>
    <row r="47" ht="36" customHeight="1">
      <c r="A47" s="9" t="n">
        <v>32</v>
      </c>
      <c r="B47" s="10" t="inlineStr">
        <is>
          <t>J_P</t>
        </is>
      </c>
      <c r="C47" s="10" t="inlineStr">
        <is>
          <t>2x8 IDC shrouded male header — PCB</t>
        </is>
      </c>
      <c r="D47" s="10" t="inlineStr">
        <is>
          <t>16-pin shrouded IDC 2.54mm</t>
        </is>
      </c>
      <c r="E47" s="9" t="n">
        <v>1</v>
      </c>
      <c r="F47" s="9" t="inlineStr">
        <is>
          <t>ea</t>
        </is>
      </c>
      <c r="G47" s="11" t="n">
        <v>0.25</v>
      </c>
      <c r="H47" s="12">
        <f>E47*G47</f>
        <v/>
      </c>
      <c r="I47" s="10" t="inlineStr">
        <is>
          <t>AliExpress: '16 pin IDC shrouded header 2.54mm'</t>
        </is>
      </c>
      <c r="J47" s="10" t="inlineStr">
        <is>
          <t>Shrouded prevents mis-insertion.</t>
        </is>
      </c>
    </row>
    <row r="48" ht="36" customHeight="1">
      <c r="A48" s="5" t="n">
        <v>33</v>
      </c>
      <c r="B48" s="6" t="inlineStr">
        <is>
          <t>SR1</t>
        </is>
      </c>
      <c r="C48" s="6" t="inlineStr">
        <is>
          <t>IDC strain relief clip</t>
        </is>
      </c>
      <c r="D48" s="6" t="inlineStr">
        <is>
          <t>For 16-pin IDC</t>
        </is>
      </c>
      <c r="E48" s="5" t="n">
        <v>2</v>
      </c>
      <c r="F48" s="5" t="inlineStr">
        <is>
          <t>ea</t>
        </is>
      </c>
      <c r="G48" s="7" t="n">
        <v>0.1</v>
      </c>
      <c r="H48" s="8">
        <f>E48*G48</f>
        <v/>
      </c>
      <c r="I48" s="6" t="inlineStr">
        <is>
          <t>AliExpress: 'IDC strain relief 16 pin'</t>
        </is>
      </c>
      <c r="J48" s="6" t="inlineStr">
        <is>
          <t>One per cable end.</t>
        </is>
      </c>
    </row>
    <row r="49" ht="18" customHeight="1">
      <c r="A49" s="22" t="inlineStr">
        <is>
          <t>CABLE SIGNAL INTEGRITY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1" t="n"/>
    </row>
    <row r="50" ht="36" customHeight="1">
      <c r="A50" s="9" t="n">
        <v>34</v>
      </c>
      <c r="B50" s="10" t="inlineStr">
        <is>
          <t>C_E1</t>
        </is>
      </c>
      <c r="C50" s="10" t="inlineStr">
        <is>
          <t>Cap 100nF — ENC_CLK filter</t>
        </is>
      </c>
      <c r="D50" s="10" t="inlineStr">
        <is>
          <t>Through-hole ceramic</t>
        </is>
      </c>
      <c r="E50" s="9" t="n">
        <v>1</v>
      </c>
      <c r="F50" s="9" t="inlineStr">
        <is>
          <t>ea</t>
        </is>
      </c>
      <c r="G50" s="11" t="n">
        <v>0.03</v>
      </c>
      <c r="H50" s="12">
        <f>E50*G50</f>
        <v/>
      </c>
      <c r="I50" s="10" t="inlineStr">
        <is>
          <t>AliExpress: '100nF ceramic'</t>
        </is>
      </c>
      <c r="J50" s="10" t="inlineStr">
        <is>
          <t>ENC_CLK to GND at controller end.</t>
        </is>
      </c>
    </row>
    <row r="51" ht="36" customHeight="1">
      <c r="A51" s="5" t="n">
        <v>35</v>
      </c>
      <c r="B51" s="6" t="inlineStr">
        <is>
          <t>C_E2</t>
        </is>
      </c>
      <c r="C51" s="6" t="inlineStr">
        <is>
          <t>Cap 100nF — ENC_DT filter</t>
        </is>
      </c>
      <c r="D51" s="6" t="inlineStr">
        <is>
          <t>Through-hole ceramic</t>
        </is>
      </c>
      <c r="E51" s="5" t="n">
        <v>1</v>
      </c>
      <c r="F51" s="5" t="inlineStr">
        <is>
          <t>ea</t>
        </is>
      </c>
      <c r="G51" s="7" t="n">
        <v>0.03</v>
      </c>
      <c r="H51" s="8">
        <f>E51*G51</f>
        <v/>
      </c>
      <c r="I51" s="6" t="inlineStr">
        <is>
          <t>AliExpress: '100nF ceramic'</t>
        </is>
      </c>
      <c r="J51" s="6" t="inlineStr">
        <is>
          <t>ENC_DT to GND at controller end.</t>
        </is>
      </c>
    </row>
    <row r="52"/>
    <row r="53" ht="18" customHeight="1">
      <c r="A53" s="22" t="inlineStr">
        <is>
          <t>HANDHELD CABLE OPTION B — DB15 (VGA)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1" t="n"/>
    </row>
    <row r="54" ht="40" customHeight="1">
      <c r="A54" s="9" t="n">
        <v>36</v>
      </c>
      <c r="B54" s="10" t="inlineStr">
        <is>
          <t>J_DB15H</t>
        </is>
      </c>
      <c r="C54" s="10" t="inlineStr">
        <is>
          <t>DB15 female panel-mount connector — handheld</t>
        </is>
      </c>
      <c r="D54" s="10" t="inlineStr">
        <is>
          <t>DE-15 female chassis mount</t>
        </is>
      </c>
      <c r="E54" s="9" t="n">
        <v>1</v>
      </c>
      <c r="F54" s="9" t="inlineStr">
        <is>
          <t>ea</t>
        </is>
      </c>
      <c r="G54" s="11" t="n">
        <v>0.6</v>
      </c>
      <c r="H54" s="12">
        <f>E54*G54</f>
        <v/>
      </c>
      <c r="I54" s="10" t="inlineStr">
        <is>
          <t>AliExpress: 'DB15 female panel mount connector'</t>
        </is>
      </c>
      <c r="J54" s="10" t="inlineStr">
        <is>
          <t>Option B connector for handheld enclosure. Locking screws keep cable secure.</t>
        </is>
      </c>
    </row>
    <row r="55" ht="40" customHeight="1">
      <c r="A55" s="5" t="n">
        <v>37</v>
      </c>
      <c r="B55" s="6" t="inlineStr">
        <is>
          <t>J_DB15P</t>
        </is>
      </c>
      <c r="C55" s="6" t="inlineStr">
        <is>
          <t>DB15 male panel-mount connector — PCB/chassis</t>
        </is>
      </c>
      <c r="D55" s="6" t="inlineStr">
        <is>
          <t>DE-15 male chassis mount</t>
        </is>
      </c>
      <c r="E55" s="5" t="n">
        <v>1</v>
      </c>
      <c r="F55" s="5" t="inlineStr">
        <is>
          <t>ea</t>
        </is>
      </c>
      <c r="G55" s="7" t="n">
        <v>0.6</v>
      </c>
      <c r="H55" s="8">
        <f>E55*G55</f>
        <v/>
      </c>
      <c r="I55" s="6" t="inlineStr">
        <is>
          <t>AliExpress: 'DB15 male panel mount connector'</t>
        </is>
      </c>
      <c r="J55" s="6" t="inlineStr">
        <is>
          <t>Option B connector for main controller enclosure.</t>
        </is>
      </c>
    </row>
    <row r="56" ht="40" customHeight="1">
      <c r="A56" s="9" t="n">
        <v>38</v>
      </c>
      <c r="B56" s="10" t="inlineStr">
        <is>
          <t>W_DB15</t>
        </is>
      </c>
      <c r="C56" s="10" t="inlineStr">
        <is>
          <t>DB15 cable 0.5m — pre-made</t>
        </is>
      </c>
      <c r="D56" s="10" t="inlineStr">
        <is>
          <t>DE-15 male-to-male 0.5m</t>
        </is>
      </c>
      <c r="E56" s="9" t="n">
        <v>1</v>
      </c>
      <c r="F56" s="9" t="inlineStr">
        <is>
          <t>ea</t>
        </is>
      </c>
      <c r="G56" s="11" t="n">
        <v>2</v>
      </c>
      <c r="H56" s="12">
        <f>E56*G56</f>
        <v/>
      </c>
      <c r="I56" s="10" t="inlineStr">
        <is>
          <t>AliExpress: 'VGA cable 0.5m' or 'DB15 cable 0.5m'</t>
        </is>
      </c>
      <c r="J56" s="10" t="inlineStr">
        <is>
          <t>Standard VGA cable works perfectly. Male-to-male, 0.5m. Uses 14 of 15 pins — pin 15 doubles as extra GND. Locking screws at both ends prevent accidental disconnection.</t>
        </is>
      </c>
    </row>
    <row r="57"/>
    <row r="58" ht="18" customHeight="1">
      <c r="A58" s="22" t="inlineStr">
        <is>
          <t>HANDHELD CABLE OPTION C — DB25 (SERIAL/PARALLEL CABLE)</t>
        </is>
      </c>
    </row>
    <row r="59" ht="40" customHeight="1">
      <c r="A59" s="5" t="n">
        <v>39</v>
      </c>
      <c r="B59" s="6" t="inlineStr">
        <is>
          <t>J_D25H</t>
        </is>
      </c>
      <c r="C59" s="6" t="inlineStr">
        <is>
          <t>DB25 female panel-mount connector — handheld</t>
        </is>
      </c>
      <c r="D59" s="6" t="inlineStr">
        <is>
          <t>DE-25 female chassis mount</t>
        </is>
      </c>
      <c r="E59" s="5" t="n">
        <v>1</v>
      </c>
      <c r="F59" s="5" t="inlineStr">
        <is>
          <t>ea</t>
        </is>
      </c>
      <c r="G59" s="7" t="n">
        <v>0.5</v>
      </c>
      <c r="H59" s="8">
        <f>E59*G59</f>
        <v/>
      </c>
      <c r="I59" s="6" t="inlineStr">
        <is>
          <t>AliExpress: 'DB25 female panel mount connector'</t>
        </is>
      </c>
      <c r="J59" s="6" t="inlineStr">
        <is>
          <t>Option C connector for handheld enclosure. All 25 pins always wired. Locking screws. Old parallel port cables work perfectly.</t>
        </is>
      </c>
    </row>
    <row r="60" ht="40" customHeight="1">
      <c r="A60" s="9" t="n">
        <v>40</v>
      </c>
      <c r="B60" s="10" t="inlineStr">
        <is>
          <t>J_D25P</t>
        </is>
      </c>
      <c r="C60" s="10" t="inlineStr">
        <is>
          <t>DB25 male panel-mount connector — PCB/chassis</t>
        </is>
      </c>
      <c r="D60" s="10" t="inlineStr">
        <is>
          <t>DE-25 male chassis mount</t>
        </is>
      </c>
      <c r="E60" s="9" t="n">
        <v>1</v>
      </c>
      <c r="F60" s="9" t="inlineStr">
        <is>
          <t>ea</t>
        </is>
      </c>
      <c r="G60" s="11" t="n">
        <v>0.5</v>
      </c>
      <c r="H60" s="12">
        <f>E60*G60</f>
        <v/>
      </c>
      <c r="I60" s="10" t="inlineStr">
        <is>
          <t>AliExpress: 'DB25 male panel mount connector'</t>
        </is>
      </c>
      <c r="J60" s="10" t="inlineStr">
        <is>
          <t>Option C connector for main controller enclosure.</t>
        </is>
      </c>
    </row>
    <row r="61" ht="40" customHeight="1">
      <c r="A61" s="5" t="n">
        <v>41</v>
      </c>
      <c r="B61" s="6" t="inlineStr">
        <is>
          <t>W_D25</t>
        </is>
      </c>
      <c r="C61" s="6" t="inlineStr">
        <is>
          <t>DB25 cable — pre-made (use existing serial/parallel cable)</t>
        </is>
      </c>
      <c r="D61" s="6" t="inlineStr">
        <is>
          <t>DE-25 male-to-female or male-to-male</t>
        </is>
      </c>
      <c r="E61" s="5" t="n">
        <v>1</v>
      </c>
      <c r="F61" s="5" t="inlineStr">
        <is>
          <t>ea</t>
        </is>
      </c>
      <c r="G61" s="7" t="n">
        <v>0</v>
      </c>
      <c r="H61" s="8">
        <f>E61*G61</f>
        <v/>
      </c>
      <c r="I61" s="6" t="inlineStr">
        <is>
          <t>Existing stock — old PC serial or parallel port cable</t>
        </is>
      </c>
      <c r="J61" s="6" t="inlineStr">
        <is>
          <t>All 25 pins guaranteed wired. Uses 16 of 25 pins — 9 spares for future use. Male-to-female straight-through (not null modem). Verify with continuity checker before use.</t>
        </is>
      </c>
    </row>
    <row r="63">
      <c r="A63" s="13" t="inlineStr">
        <is>
          <t>ESTIMATED TOTAL (USD)</t>
        </is>
      </c>
      <c r="H63" s="14">
        <f>SUMIF(E5:E42,"&gt;0",H5:H42)</f>
        <v/>
      </c>
      <c r="I63" s="15" t="n"/>
      <c r="J63" s="15" t="n"/>
    </row>
    <row r="64"/>
    <row r="65">
      <c r="A65" s="16" t="inlineStr">
        <is>
          <t>* Prices are estimates based on AliExpress/generic suppliers at time of writing. Genuine Arduino, branded components, or local suppliers will cost more. Shipping not included. Always verify component compatibility before ordering.</t>
        </is>
      </c>
    </row>
  </sheetData>
  <mergeCells count="17">
    <mergeCell ref="A44:J44"/>
    <mergeCell ref="A1:J1"/>
    <mergeCell ref="A44:G44"/>
    <mergeCell ref="A5:J5"/>
    <mergeCell ref="A46:J46"/>
    <mergeCell ref="A58:J58"/>
    <mergeCell ref="A17:J17"/>
    <mergeCell ref="A21:J21"/>
    <mergeCell ref="A39:J39"/>
    <mergeCell ref="A34:J34"/>
    <mergeCell ref="A12:J12"/>
    <mergeCell ref="A7:J7"/>
    <mergeCell ref="A15:J15"/>
    <mergeCell ref="A53:J53"/>
    <mergeCell ref="A2:J2"/>
    <mergeCell ref="A10:J10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2" customHeight="1">
      <c r="A1" s="17" t="inlineStr">
        <is>
          <t>CAMERA SLIDER  —  Firmware Notes &amp; Key Configuration</t>
        </is>
      </c>
    </row>
    <row r="2" ht="18" customHeight="1">
      <c r="A2" s="2" t="inlineStr">
        <is>
          <t>Edit these values in camera-slider.ino to match your hardware</t>
        </is>
      </c>
    </row>
    <row r="4" ht="20" customHeight="1">
      <c r="A4" s="4" t="inlineStr">
        <is>
          <t>MOTOR CONFIGURATION</t>
        </is>
      </c>
      <c r="B4" s="21" t="n"/>
    </row>
    <row r="5" ht="32" customHeight="1">
      <c r="A5" s="18" t="inlineStr">
        <is>
          <t>STEPS_PER_MM</t>
        </is>
      </c>
      <c r="B5" s="6" t="inlineStr">
        <is>
          <t>80  — steps per mm of travel. Tune to your lead-screw pitch. T8 leadscrew (8mm/rev) at 16 microsteps = 200×16÷8 = 400. Adjust until measured travel matches commanded travel.</t>
        </is>
      </c>
    </row>
    <row r="6" ht="32" customHeight="1">
      <c r="A6" s="19" t="inlineStr">
        <is>
          <t>MICROSTEPS</t>
        </is>
      </c>
      <c r="B6" s="10" t="inlineStr">
        <is>
          <t>16  — set via MS1/MS2 pads on TMC2209 module.</t>
        </is>
      </c>
    </row>
    <row r="7" ht="32" customHeight="1">
      <c r="A7" s="18" t="inlineStr">
        <is>
          <t>JOG_FAST_SPEED</t>
        </is>
      </c>
      <c r="B7" s="6" t="inlineStr">
        <is>
          <t>30 mm/s  — hold-button jog speed.</t>
        </is>
      </c>
    </row>
    <row r="8" ht="32" customHeight="1">
      <c r="A8" s="19" t="inlineStr">
        <is>
          <t>JOG_SLOW_STEPS</t>
        </is>
      </c>
      <c r="B8" s="10" t="inlineStr">
        <is>
          <t>1 mm  — single tap jog distance.</t>
        </is>
      </c>
    </row>
    <row r="9" ht="32" customHeight="1">
      <c r="A9" s="18" t="inlineStr">
        <is>
          <t>MAX_TRAVEL_MM</t>
        </is>
      </c>
      <c r="B9" s="6" t="inlineStr">
        <is>
          <t>200  — physical rail length in mm.</t>
        </is>
      </c>
    </row>
    <row r="10" ht="32" customHeight="1">
      <c r="A10" s="19" t="inlineStr">
        <is>
          <t>HOME_SPEED</t>
        </is>
      </c>
      <c r="B10" s="10" t="inlineStr">
        <is>
          <t>5 mm/s  — homing approach speed.</t>
        </is>
      </c>
    </row>
    <row r="11" ht="20" customHeight="1">
      <c r="A11" s="4" t="inlineStr">
        <is>
          <t>DISPLAY</t>
        </is>
      </c>
      <c r="B11" s="21" t="n"/>
    </row>
    <row r="12" ht="32" customHeight="1">
      <c r="A12" s="18" t="inlineStr">
        <is>
          <t>OLED I2C address</t>
        </is>
      </c>
      <c r="B12" s="6" t="inlineStr">
        <is>
          <t>0x3C (default). Change in U8G2_SH1106 constructor if display blank.</t>
        </is>
      </c>
    </row>
    <row r="13" ht="32" customHeight="1">
      <c r="A13" s="19" t="inlineStr">
        <is>
          <t>FIRMWARE_VER</t>
        </is>
      </c>
      <c r="B13" s="10" t="inlineStr">
        <is>
          <t>"v1.0"  — update this string for each release.</t>
        </is>
      </c>
    </row>
    <row r="14" ht="20" customHeight="1">
      <c r="A14" s="4" t="inlineStr">
        <is>
          <t>IR REMOTE</t>
        </is>
      </c>
      <c r="B14" s="21" t="n"/>
    </row>
    <row r="15" ht="32" customHeight="1">
      <c r="A15" s="18" t="inlineStr">
        <is>
          <t>IR_BTN_START_PAUSE</t>
        </is>
      </c>
      <c r="B15" s="6" t="inlineStr">
        <is>
          <t>0x00000000  — replace with code from IR_Learn.ino</t>
        </is>
      </c>
    </row>
    <row r="16" ht="32" customHeight="1">
      <c r="A16" s="19" t="inlineStr">
        <is>
          <t>IR_BTN_CANCEL</t>
        </is>
      </c>
      <c r="B16" s="10" t="inlineStr">
        <is>
          <t>0x00000000  — replace with code from IR_Learn.ino</t>
        </is>
      </c>
    </row>
    <row r="17" ht="32" customHeight="1">
      <c r="A17" s="18" t="inlineStr">
        <is>
          <t>IR_BTN_HOME</t>
        </is>
      </c>
      <c r="B17" s="6" t="inlineStr">
        <is>
          <t>0x00000000  — replace with code from IR_Learn.ino</t>
        </is>
      </c>
    </row>
    <row r="18" ht="32" customHeight="1">
      <c r="A18" s="19" t="inlineStr">
        <is>
          <t>IR_BTN_FULL_LOOP</t>
        </is>
      </c>
      <c r="B18" s="10" t="inlineStr">
        <is>
          <t>0x00000000  — replace with code from IR_Learn.ino</t>
        </is>
      </c>
    </row>
    <row r="19" ht="32" customHeight="1">
      <c r="A19" s="18" t="inlineStr">
        <is>
          <t>IR_BTN_SLOT_1</t>
        </is>
      </c>
      <c r="B19" s="6" t="inlineStr">
        <is>
          <t>0x00000000  — replace with code from IR_Learn.ino</t>
        </is>
      </c>
    </row>
    <row r="20" ht="32" customHeight="1">
      <c r="A20" s="19" t="inlineStr">
        <is>
          <t>IR_BTN_SLOT_2</t>
        </is>
      </c>
      <c r="B20" s="10" t="inlineStr">
        <is>
          <t>0x00000000  — replace with code from IR_Learn.ino</t>
        </is>
      </c>
    </row>
    <row r="21" ht="32" customHeight="1">
      <c r="A21" s="18" t="inlineStr">
        <is>
          <t>IR_BTN_SLOT_3</t>
        </is>
      </c>
      <c r="B21" s="6" t="inlineStr">
        <is>
          <t>0x00000000  — replace with code from IR_Learn.ino</t>
        </is>
      </c>
    </row>
    <row r="22" ht="32" customHeight="1">
      <c r="A22" s="19" t="inlineStr">
        <is>
          <t>IR_BTN_SLOT_4</t>
        </is>
      </c>
      <c r="B22" s="10" t="inlineStr">
        <is>
          <t>0x00000000  — replace with code from IR_Learn.ino</t>
        </is>
      </c>
    </row>
    <row r="23" ht="32" customHeight="1">
      <c r="A23" s="18" t="inlineStr">
        <is>
          <t>IR_BTN_LEFT</t>
        </is>
      </c>
      <c r="B23" s="6" t="inlineStr">
        <is>
          <t>0x00000000  — replace with code from IR_Learn.ino</t>
        </is>
      </c>
    </row>
    <row r="24" ht="32" customHeight="1">
      <c r="A24" s="19" t="inlineStr">
        <is>
          <t>IR_BTN_RIGHT</t>
        </is>
      </c>
      <c r="B24" s="10" t="inlineStr">
        <is>
          <t>0x00000000  — replace with code from IR_Learn.ino</t>
        </is>
      </c>
    </row>
    <row r="25" ht="20" customHeight="1">
      <c r="A25" s="4" t="inlineStr">
        <is>
          <t>LIBRARIES REQUIRED</t>
        </is>
      </c>
      <c r="B25" s="21" t="n"/>
    </row>
    <row r="26" ht="32" customHeight="1">
      <c r="A26" s="18" t="inlineStr">
        <is>
          <t>U8g2</t>
        </is>
      </c>
      <c r="B26" s="6" t="inlineStr">
        <is>
          <t>by Oliver Kraus — install via Arduino Library Manager</t>
        </is>
      </c>
    </row>
    <row r="27" ht="32" customHeight="1">
      <c r="A27" s="19" t="inlineStr">
        <is>
          <t>AccelStepper</t>
        </is>
      </c>
      <c r="B27" s="10" t="inlineStr">
        <is>
          <t>by Mike McCauley — install via Arduino Library Manager</t>
        </is>
      </c>
    </row>
    <row r="28" ht="32" customHeight="1">
      <c r="A28" s="18" t="inlineStr">
        <is>
          <t>IRremote</t>
        </is>
      </c>
      <c r="B28" s="6" t="inlineStr">
        <is>
          <t>v3.x or v4.x — install via Arduino Library Manager</t>
        </is>
      </c>
    </row>
    <row r="29" ht="20" customHeight="1">
      <c r="A29" s="4" t="inlineStr">
        <is>
          <t>PROJECT FILES</t>
        </is>
      </c>
      <c r="B29" s="21" t="n"/>
    </row>
    <row r="30" ht="32" customHeight="1">
      <c r="A30" s="19" t="inlineStr">
        <is>
          <t>camera-slider.ino</t>
        </is>
      </c>
      <c r="B30" s="10" t="inlineStr">
        <is>
          <t>Main firmware sketch</t>
        </is>
      </c>
    </row>
    <row r="31" ht="32" customHeight="1">
      <c r="A31" s="18" t="inlineStr">
        <is>
          <t>IR_Learn.ino</t>
        </is>
      </c>
      <c r="B31" s="6" t="inlineStr">
        <is>
          <t>Standalone sketch for discovering IR remote button codes</t>
        </is>
      </c>
    </row>
    <row r="32" ht="32" customHeight="1">
      <c r="A32" s="19" t="inlineStr">
        <is>
          <t>camera-slider-wiring.pdf</t>
        </is>
      </c>
      <c r="B32" s="10" t="inlineStr">
        <is>
          <t>Formatted wiring reference document</t>
        </is>
      </c>
    </row>
    <row r="33" ht="32" customHeight="1">
      <c r="A33" s="18" t="inlineStr">
        <is>
          <t>camera-slider-wiring.txt</t>
        </is>
      </c>
      <c r="B33" s="6" t="inlineStr">
        <is>
          <t>ASCII wiring diagram</t>
        </is>
      </c>
    </row>
    <row r="34" ht="32" customHeight="1">
      <c r="A34" s="19" t="inlineStr">
        <is>
          <t>camera-slider-bom.xlsx</t>
        </is>
      </c>
      <c r="B34" s="10" t="inlineStr">
        <is>
          <t>This file — Bill of Materials</t>
        </is>
      </c>
    </row>
  </sheetData>
  <mergeCells count="7">
    <mergeCell ref="A4:B4"/>
    <mergeCell ref="A2:B2"/>
    <mergeCell ref="A29:B29"/>
    <mergeCell ref="A25:B25"/>
    <mergeCell ref="A11:B11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2026-04-04T19:04:49Z</dcterms:created>
  <dcterms:modified xmlns:dcterms="http://purl.org/dc/terms/" xmlns:xsi="http://www.w3.org/2001/XMLSchema-instance" xsi:type="dcterms:W3CDTF">2026-04-06T00:06:09Z</dcterms:modified>
</cp:coreProperties>
</file>